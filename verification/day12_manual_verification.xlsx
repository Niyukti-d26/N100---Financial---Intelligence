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100-Financial-Intelligence\verification\"/>
    </mc:Choice>
  </mc:AlternateContent>
  <xr:revisionPtr revIDLastSave="0" documentId="13_ncr:1_{A7A61FE1-ED3D-43A2-AFB0-B16A47611A59}" xr6:coauthVersionLast="47" xr6:coauthVersionMax="47" xr10:uidLastSave="{00000000-0000-0000-0000-000000000000}"/>
  <bookViews>
    <workbookView xWindow="-60" yWindow="0" windowWidth="12312" windowHeight="12336" firstSheet="2" activeTab="2" xr2:uid="{00000000-000D-0000-FFFF-FFFF00000000}"/>
  </bookViews>
  <sheets>
    <sheet name="RAW_DATA" sheetId="1" r:id="rId1"/>
    <sheet name="ROE_CHECK" sheetId="2" r:id="rId2"/>
    <sheet name="CAGR_CHECK" sheetId="3" r:id="rId3"/>
    <sheet name="DB_VALU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" l="1"/>
  <c r="H7" i="3"/>
  <c r="H8" i="3"/>
  <c r="H10" i="3"/>
  <c r="H19" i="3"/>
  <c r="H20" i="3"/>
  <c r="H21" i="3"/>
  <c r="H22" i="3"/>
  <c r="H23" i="3"/>
  <c r="F24" i="3"/>
  <c r="H24" i="3" s="1"/>
  <c r="F23" i="3"/>
  <c r="F22" i="3"/>
  <c r="F21" i="3"/>
  <c r="F20" i="3"/>
  <c r="F19" i="3"/>
  <c r="F18" i="3"/>
  <c r="H18" i="3" s="1"/>
  <c r="F16" i="3"/>
  <c r="H16" i="3" s="1"/>
  <c r="F15" i="3"/>
  <c r="H15" i="3" s="1"/>
  <c r="F14" i="3"/>
  <c r="H14" i="3" s="1"/>
  <c r="F13" i="3"/>
  <c r="H13" i="3" s="1"/>
  <c r="F12" i="3"/>
  <c r="H12" i="3" s="1"/>
  <c r="F11" i="3"/>
  <c r="H11" i="3" s="1"/>
  <c r="F10" i="3"/>
  <c r="F3" i="3"/>
  <c r="H3" i="3" s="1"/>
  <c r="F4" i="3"/>
  <c r="F5" i="3"/>
  <c r="H5" i="3" s="1"/>
  <c r="F6" i="3"/>
  <c r="H6" i="3" s="1"/>
  <c r="F7" i="3"/>
  <c r="F8" i="3"/>
  <c r="F2" i="3"/>
  <c r="H2" i="3" s="1"/>
  <c r="H3" i="2"/>
  <c r="F4" i="2"/>
  <c r="H4" i="2" s="1"/>
  <c r="F3" i="2"/>
  <c r="F2" i="2"/>
  <c r="H2" i="2" s="1"/>
</calcChain>
</file>

<file path=xl/sharedStrings.xml><?xml version="1.0" encoding="utf-8"?>
<sst xmlns="http://schemas.openxmlformats.org/spreadsheetml/2006/main" count="2379" uniqueCount="114">
  <si>
    <t>company_id</t>
  </si>
  <si>
    <t>year</t>
  </si>
  <si>
    <t>return_on_equity_pct</t>
  </si>
  <si>
    <t>revenue_cagr_5yr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</si>
  <si>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</si>
  <si>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</si>
  <si>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</si>
  <si>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</si>
  <si>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</si>
  <si>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</si>
  <si>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</si>
  <si>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</si>
  <si>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</si>
  <si>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</si>
  <si>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</si>
  <si>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</si>
  <si>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</si>
  <si>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</si>
  <si>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</si>
  <si>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</si>
  <si>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</si>
  <si>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</si>
  <si>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</si>
  <si>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</si>
  <si>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</si>
  <si>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</si>
  <si>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</si>
  <si>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</si>
  <si>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</si>
  <si>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</si>
  <si>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</si>
  <si>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</si>
  <si>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</si>
  <si>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</si>
  <si>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</si>
  <si>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</si>
  <si>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</si>
  <si>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</si>
  <si>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</si>
  <si>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</si>
  <si>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</si>
  <si>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</si>
  <si>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</si>
  <si>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</si>
  <si>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</si>
  <si>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</si>
  <si>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</si>
  <si>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</si>
  <si>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</si>
  <si>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</si>
  <si>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</si>
  <si>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</si>
  <si>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</si>
  <si>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</si>
  <si>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</si>
  <si>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</si>
  <si>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</si>
  <si>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</si>
  <si>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</si>
  <si>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</si>
  <si>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</si>
  <si>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</si>
  <si>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</si>
  <si>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</si>
  <si>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</si>
  <si>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</si>
  <si>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</si>
  <si>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</si>
  <si>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</si>
  <si>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</si>
  <si>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</si>
  <si>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</si>
  <si>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</si>
  <si>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</si>
  <si>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</si>
  <si>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</si>
  <si>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</si>
  <si>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</si>
  <si>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</si>
  <si>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</si>
  <si>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</si>
  <si>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</si>
  <si>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</si>
  <si>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</si>
  <si>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</si>
  <si>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</si>
  <si>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</si>
  <si>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</si>
  <si>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</si>
  <si>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</si>
  <si>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</si>
  <si>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</si>
  <si>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</si>
  <si>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</si>
  <si>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</si>
  <si>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</si>
  <si>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sales</t>
  </si>
  <si>
    <t>net_profit</t>
  </si>
  <si>
    <t>equity_capital</t>
  </si>
  <si>
    <t>reserves</t>
  </si>
  <si>
    <t>borrowings</t>
  </si>
  <si>
    <t>Company</t>
  </si>
  <si>
    <t>Year</t>
  </si>
  <si>
    <t>Net Profit</t>
  </si>
  <si>
    <t>Equity Capital</t>
  </si>
  <si>
    <t>Reserves</t>
  </si>
  <si>
    <t>Manual ROE</t>
  </si>
  <si>
    <t>DB ROE</t>
  </si>
  <si>
    <t>Difference</t>
  </si>
  <si>
    <t>Sales (Current)</t>
  </si>
  <si>
    <t>Sales (5 Years Ago)</t>
  </si>
  <si>
    <t>Years</t>
  </si>
  <si>
    <t>Manual CAGR</t>
  </si>
  <si>
    <t>DB 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</si>
</sst>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5"/>
  <sheetViews>
    <sheetView topLeftCell="A1077" workbookViewId="0">
      <selection activeCell="A1088" sqref="A1088:F110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</row>
    <row r="2" spans="1:7" x14ac:dyDescent="0.3">
      <c r="A2" t="s">
        <v>4</v>
      </c>
      <c r="C2">
        <v>6066</v>
      </c>
      <c r="D2">
        <v>1285</v>
      </c>
    </row>
    <row r="3" spans="1:7" x14ac:dyDescent="0.3">
      <c r="A3" t="s">
        <v>4</v>
      </c>
      <c r="B3">
        <v>2012</v>
      </c>
      <c r="C3">
        <v>1653</v>
      </c>
      <c r="D3">
        <v>145</v>
      </c>
      <c r="E3">
        <v>21</v>
      </c>
      <c r="F3">
        <v>626</v>
      </c>
    </row>
    <row r="4" spans="1:7" x14ac:dyDescent="0.3">
      <c r="A4" t="s">
        <v>4</v>
      </c>
      <c r="B4">
        <v>2014</v>
      </c>
      <c r="C4">
        <v>2276</v>
      </c>
      <c r="D4">
        <v>198</v>
      </c>
      <c r="E4">
        <v>21</v>
      </c>
      <c r="F4">
        <v>767</v>
      </c>
    </row>
    <row r="5" spans="1:7" x14ac:dyDescent="0.3">
      <c r="A5" t="s">
        <v>4</v>
      </c>
      <c r="B5">
        <v>2015</v>
      </c>
      <c r="C5">
        <v>2289</v>
      </c>
      <c r="D5">
        <v>229</v>
      </c>
      <c r="E5">
        <v>21</v>
      </c>
      <c r="F5">
        <v>916</v>
      </c>
    </row>
    <row r="6" spans="1:7" x14ac:dyDescent="0.3">
      <c r="A6" t="s">
        <v>4</v>
      </c>
      <c r="B6">
        <v>2016</v>
      </c>
      <c r="C6">
        <v>2614</v>
      </c>
      <c r="D6">
        <v>255</v>
      </c>
      <c r="E6">
        <v>21</v>
      </c>
      <c r="F6">
        <v>1174</v>
      </c>
    </row>
    <row r="7" spans="1:7" x14ac:dyDescent="0.3">
      <c r="A7" t="s">
        <v>4</v>
      </c>
      <c r="B7">
        <v>2017</v>
      </c>
      <c r="C7">
        <v>2903</v>
      </c>
      <c r="D7">
        <v>277</v>
      </c>
      <c r="E7">
        <v>21</v>
      </c>
      <c r="F7">
        <v>1366</v>
      </c>
    </row>
    <row r="8" spans="1:7" x14ac:dyDescent="0.3">
      <c r="A8" t="s">
        <v>4</v>
      </c>
      <c r="B8">
        <v>2018</v>
      </c>
      <c r="C8">
        <v>3298</v>
      </c>
      <c r="D8">
        <v>401</v>
      </c>
      <c r="E8">
        <v>21</v>
      </c>
      <c r="F8">
        <v>1672</v>
      </c>
    </row>
    <row r="9" spans="1:7" x14ac:dyDescent="0.3">
      <c r="A9" t="s">
        <v>4</v>
      </c>
      <c r="B9">
        <v>2019</v>
      </c>
      <c r="C9">
        <v>3679</v>
      </c>
      <c r="D9">
        <v>450</v>
      </c>
      <c r="E9">
        <v>21</v>
      </c>
      <c r="F9">
        <v>1987</v>
      </c>
    </row>
    <row r="10" spans="1:7" x14ac:dyDescent="0.3">
      <c r="A10" t="s">
        <v>4</v>
      </c>
      <c r="B10">
        <v>2020</v>
      </c>
      <c r="C10">
        <v>4093</v>
      </c>
      <c r="D10">
        <v>593</v>
      </c>
      <c r="E10">
        <v>21</v>
      </c>
      <c r="F10">
        <v>2410</v>
      </c>
    </row>
    <row r="11" spans="1:7" x14ac:dyDescent="0.3">
      <c r="A11" t="s">
        <v>4</v>
      </c>
      <c r="B11">
        <v>2021</v>
      </c>
      <c r="C11">
        <v>4310</v>
      </c>
      <c r="D11">
        <v>691</v>
      </c>
      <c r="E11">
        <v>21</v>
      </c>
      <c r="F11">
        <v>2581</v>
      </c>
    </row>
    <row r="12" spans="1:7" x14ac:dyDescent="0.3">
      <c r="A12" t="s">
        <v>4</v>
      </c>
      <c r="B12">
        <v>2022</v>
      </c>
      <c r="C12">
        <v>4913</v>
      </c>
      <c r="D12">
        <v>799</v>
      </c>
      <c r="E12">
        <v>21</v>
      </c>
      <c r="F12">
        <v>2799</v>
      </c>
    </row>
    <row r="13" spans="1:7" x14ac:dyDescent="0.3">
      <c r="A13" t="s">
        <v>4</v>
      </c>
      <c r="B13">
        <v>2023</v>
      </c>
      <c r="C13">
        <v>5349</v>
      </c>
      <c r="D13">
        <v>949</v>
      </c>
      <c r="E13">
        <v>21</v>
      </c>
      <c r="F13">
        <v>3167</v>
      </c>
    </row>
    <row r="14" spans="1:7" x14ac:dyDescent="0.3">
      <c r="A14" t="s">
        <v>4</v>
      </c>
      <c r="B14">
        <v>2024</v>
      </c>
      <c r="C14">
        <v>5849</v>
      </c>
      <c r="D14">
        <v>1201</v>
      </c>
      <c r="E14">
        <v>21</v>
      </c>
      <c r="F14">
        <v>3500</v>
      </c>
    </row>
    <row r="15" spans="1:7" x14ac:dyDescent="0.3">
      <c r="A15" t="s">
        <v>5</v>
      </c>
      <c r="C15">
        <v>22099</v>
      </c>
      <c r="D15">
        <v>589</v>
      </c>
    </row>
    <row r="16" spans="1:7" x14ac:dyDescent="0.3">
      <c r="A16" t="s">
        <v>5</v>
      </c>
      <c r="B16">
        <v>2014</v>
      </c>
      <c r="C16">
        <v>0</v>
      </c>
      <c r="D16">
        <v>0</v>
      </c>
      <c r="E16">
        <v>0.1</v>
      </c>
      <c r="F16">
        <v>0</v>
      </c>
    </row>
    <row r="17" spans="1:6" x14ac:dyDescent="0.3">
      <c r="A17" t="s">
        <v>5</v>
      </c>
      <c r="B17">
        <v>2015</v>
      </c>
      <c r="C17">
        <v>131</v>
      </c>
      <c r="D17">
        <v>-7</v>
      </c>
      <c r="E17">
        <v>1090</v>
      </c>
      <c r="F17">
        <v>-7</v>
      </c>
    </row>
    <row r="18" spans="1:6" x14ac:dyDescent="0.3">
      <c r="A18" t="s">
        <v>5</v>
      </c>
      <c r="B18">
        <v>2016</v>
      </c>
      <c r="C18">
        <v>2194</v>
      </c>
      <c r="D18">
        <v>368</v>
      </c>
      <c r="E18">
        <v>1100</v>
      </c>
      <c r="F18">
        <v>1572</v>
      </c>
    </row>
    <row r="19" spans="1:6" x14ac:dyDescent="0.3">
      <c r="A19" t="s">
        <v>5</v>
      </c>
      <c r="B19">
        <v>2017</v>
      </c>
      <c r="C19">
        <v>2876</v>
      </c>
      <c r="D19">
        <v>416</v>
      </c>
      <c r="E19">
        <v>1100</v>
      </c>
      <c r="F19">
        <v>1847</v>
      </c>
    </row>
    <row r="20" spans="1:6" x14ac:dyDescent="0.3">
      <c r="A20" t="s">
        <v>5</v>
      </c>
      <c r="B20">
        <v>2018</v>
      </c>
      <c r="C20">
        <v>3944</v>
      </c>
      <c r="D20">
        <v>1143</v>
      </c>
      <c r="E20">
        <v>1100</v>
      </c>
      <c r="F20">
        <v>4957</v>
      </c>
    </row>
    <row r="21" spans="1:6" x14ac:dyDescent="0.3">
      <c r="A21" t="s">
        <v>5</v>
      </c>
      <c r="B21">
        <v>2019</v>
      </c>
      <c r="C21">
        <v>7305</v>
      </c>
      <c r="D21">
        <v>559</v>
      </c>
      <c r="E21">
        <v>1100</v>
      </c>
      <c r="F21">
        <v>6943</v>
      </c>
    </row>
    <row r="22" spans="1:6" x14ac:dyDescent="0.3">
      <c r="A22" t="s">
        <v>5</v>
      </c>
      <c r="B22">
        <v>2020</v>
      </c>
      <c r="C22">
        <v>11416</v>
      </c>
      <c r="D22">
        <v>706</v>
      </c>
      <c r="E22">
        <v>1100</v>
      </c>
      <c r="F22">
        <v>7399</v>
      </c>
    </row>
    <row r="23" spans="1:6" x14ac:dyDescent="0.3">
      <c r="A23" t="s">
        <v>5</v>
      </c>
      <c r="B23">
        <v>2021</v>
      </c>
      <c r="C23">
        <v>9926</v>
      </c>
      <c r="D23">
        <v>1290</v>
      </c>
      <c r="E23">
        <v>1100</v>
      </c>
      <c r="F23">
        <v>7819</v>
      </c>
    </row>
    <row r="24" spans="1:6" x14ac:dyDescent="0.3">
      <c r="A24" t="s">
        <v>5</v>
      </c>
      <c r="B24">
        <v>2022</v>
      </c>
      <c r="C24">
        <v>11258</v>
      </c>
      <c r="D24">
        <v>1236</v>
      </c>
      <c r="E24">
        <v>1100</v>
      </c>
      <c r="F24">
        <v>8813</v>
      </c>
    </row>
    <row r="25" spans="1:6" x14ac:dyDescent="0.3">
      <c r="A25" t="s">
        <v>5</v>
      </c>
      <c r="B25">
        <v>2023</v>
      </c>
      <c r="C25">
        <v>13293</v>
      </c>
      <c r="D25">
        <v>1281</v>
      </c>
      <c r="E25">
        <v>1115</v>
      </c>
      <c r="F25">
        <v>10634</v>
      </c>
    </row>
    <row r="26" spans="1:6" x14ac:dyDescent="0.3">
      <c r="A26" t="s">
        <v>5</v>
      </c>
      <c r="B26">
        <v>2024</v>
      </c>
      <c r="C26">
        <v>16607</v>
      </c>
      <c r="D26">
        <v>1196</v>
      </c>
      <c r="E26">
        <v>1115</v>
      </c>
      <c r="F26">
        <v>11526</v>
      </c>
    </row>
    <row r="27" spans="1:6" x14ac:dyDescent="0.3">
      <c r="A27" t="s">
        <v>6</v>
      </c>
      <c r="C27">
        <v>102311</v>
      </c>
      <c r="D27">
        <v>6086</v>
      </c>
    </row>
    <row r="28" spans="1:6" x14ac:dyDescent="0.3">
      <c r="A28" t="s">
        <v>6</v>
      </c>
      <c r="B28">
        <v>2013</v>
      </c>
      <c r="C28">
        <v>46375</v>
      </c>
      <c r="D28">
        <v>1218</v>
      </c>
      <c r="E28">
        <v>110</v>
      </c>
      <c r="F28">
        <v>21286</v>
      </c>
    </row>
    <row r="29" spans="1:6" x14ac:dyDescent="0.3">
      <c r="A29" t="s">
        <v>6</v>
      </c>
      <c r="B29">
        <v>2014</v>
      </c>
      <c r="C29">
        <v>54947</v>
      </c>
      <c r="D29">
        <v>2646</v>
      </c>
      <c r="E29">
        <v>110</v>
      </c>
      <c r="F29">
        <v>23647</v>
      </c>
    </row>
    <row r="30" spans="1:6" x14ac:dyDescent="0.3">
      <c r="A30" t="s">
        <v>6</v>
      </c>
      <c r="B30">
        <v>2015</v>
      </c>
      <c r="C30">
        <v>64465</v>
      </c>
      <c r="D30">
        <v>2298</v>
      </c>
      <c r="E30">
        <v>110</v>
      </c>
      <c r="F30">
        <v>25618</v>
      </c>
    </row>
    <row r="31" spans="1:6" x14ac:dyDescent="0.3">
      <c r="A31" t="s">
        <v>6</v>
      </c>
      <c r="B31">
        <v>2016</v>
      </c>
      <c r="C31">
        <v>34008</v>
      </c>
      <c r="D31">
        <v>1000</v>
      </c>
      <c r="E31">
        <v>110</v>
      </c>
      <c r="F31">
        <v>13268</v>
      </c>
    </row>
    <row r="32" spans="1:6" x14ac:dyDescent="0.3">
      <c r="A32" t="s">
        <v>6</v>
      </c>
      <c r="B32">
        <v>2017</v>
      </c>
      <c r="C32">
        <v>36533</v>
      </c>
      <c r="D32">
        <v>925</v>
      </c>
      <c r="E32">
        <v>110</v>
      </c>
      <c r="F32">
        <v>14026</v>
      </c>
    </row>
    <row r="33" spans="1:6" x14ac:dyDescent="0.3">
      <c r="A33" t="s">
        <v>6</v>
      </c>
      <c r="B33">
        <v>2018</v>
      </c>
      <c r="C33">
        <v>35924</v>
      </c>
      <c r="D33">
        <v>594</v>
      </c>
      <c r="E33">
        <v>110</v>
      </c>
      <c r="F33">
        <v>14979</v>
      </c>
    </row>
    <row r="34" spans="1:6" x14ac:dyDescent="0.3">
      <c r="A34" t="s">
        <v>6</v>
      </c>
      <c r="B34">
        <v>2019</v>
      </c>
      <c r="C34">
        <v>40379</v>
      </c>
      <c r="D34">
        <v>506</v>
      </c>
      <c r="E34">
        <v>110</v>
      </c>
      <c r="F34">
        <v>14646</v>
      </c>
    </row>
    <row r="35" spans="1:6" x14ac:dyDescent="0.3">
      <c r="A35" t="s">
        <v>6</v>
      </c>
      <c r="B35">
        <v>2020</v>
      </c>
      <c r="C35">
        <v>43403</v>
      </c>
      <c r="D35">
        <v>1040</v>
      </c>
      <c r="E35">
        <v>110</v>
      </c>
      <c r="F35">
        <v>16837</v>
      </c>
    </row>
    <row r="36" spans="1:6" x14ac:dyDescent="0.3">
      <c r="A36" t="s">
        <v>6</v>
      </c>
      <c r="B36">
        <v>2021</v>
      </c>
      <c r="C36">
        <v>39537</v>
      </c>
      <c r="D36">
        <v>1046</v>
      </c>
      <c r="E36">
        <v>110</v>
      </c>
      <c r="F36">
        <v>17049</v>
      </c>
    </row>
    <row r="37" spans="1:6" x14ac:dyDescent="0.3">
      <c r="A37" t="s">
        <v>6</v>
      </c>
      <c r="B37">
        <v>2022</v>
      </c>
      <c r="C37">
        <v>69420</v>
      </c>
      <c r="D37">
        <v>788</v>
      </c>
      <c r="E37">
        <v>110</v>
      </c>
      <c r="F37">
        <v>22147</v>
      </c>
    </row>
    <row r="38" spans="1:6" x14ac:dyDescent="0.3">
      <c r="A38" t="s">
        <v>6</v>
      </c>
      <c r="B38">
        <v>2023</v>
      </c>
      <c r="C38">
        <v>127540</v>
      </c>
      <c r="D38">
        <v>2422</v>
      </c>
      <c r="E38">
        <v>114</v>
      </c>
      <c r="F38">
        <v>32937</v>
      </c>
    </row>
    <row r="39" spans="1:6" x14ac:dyDescent="0.3">
      <c r="A39" t="s">
        <v>6</v>
      </c>
      <c r="B39">
        <v>2024</v>
      </c>
      <c r="C39">
        <v>96421</v>
      </c>
      <c r="D39">
        <v>3335</v>
      </c>
      <c r="E39">
        <v>114</v>
      </c>
      <c r="F39">
        <v>38962</v>
      </c>
    </row>
    <row r="40" spans="1:6" x14ac:dyDescent="0.3">
      <c r="A40" t="s">
        <v>7</v>
      </c>
      <c r="C40">
        <v>10782</v>
      </c>
      <c r="D40">
        <v>1928</v>
      </c>
    </row>
    <row r="41" spans="1:6" x14ac:dyDescent="0.3">
      <c r="A41" t="s">
        <v>7</v>
      </c>
      <c r="B41">
        <v>2017</v>
      </c>
      <c r="C41">
        <v>502</v>
      </c>
      <c r="D41">
        <v>-47</v>
      </c>
      <c r="E41">
        <v>1274</v>
      </c>
      <c r="F41">
        <v>-71</v>
      </c>
    </row>
    <row r="42" spans="1:6" x14ac:dyDescent="0.3">
      <c r="A42" t="s">
        <v>7</v>
      </c>
      <c r="B42">
        <v>2018</v>
      </c>
      <c r="C42">
        <v>1480</v>
      </c>
      <c r="D42">
        <v>-138</v>
      </c>
      <c r="E42">
        <v>1564</v>
      </c>
      <c r="F42">
        <v>-223</v>
      </c>
    </row>
    <row r="43" spans="1:6" x14ac:dyDescent="0.3">
      <c r="A43" t="s">
        <v>7</v>
      </c>
      <c r="B43">
        <v>2019</v>
      </c>
      <c r="C43">
        <v>2058</v>
      </c>
      <c r="D43">
        <v>-475</v>
      </c>
      <c r="E43">
        <v>1564</v>
      </c>
      <c r="F43">
        <v>369</v>
      </c>
    </row>
    <row r="44" spans="1:6" x14ac:dyDescent="0.3">
      <c r="A44" t="s">
        <v>7</v>
      </c>
      <c r="B44">
        <v>2020</v>
      </c>
      <c r="C44">
        <v>2549</v>
      </c>
      <c r="D44">
        <v>-68</v>
      </c>
      <c r="E44">
        <v>1564</v>
      </c>
      <c r="F44">
        <v>793</v>
      </c>
    </row>
    <row r="45" spans="1:6" x14ac:dyDescent="0.3">
      <c r="A45" t="s">
        <v>7</v>
      </c>
      <c r="B45">
        <v>2021</v>
      </c>
      <c r="C45">
        <v>3124</v>
      </c>
      <c r="D45">
        <v>182</v>
      </c>
      <c r="E45">
        <v>1564</v>
      </c>
      <c r="F45">
        <v>636</v>
      </c>
    </row>
    <row r="46" spans="1:6" x14ac:dyDescent="0.3">
      <c r="A46" t="s">
        <v>7</v>
      </c>
      <c r="B46">
        <v>2022</v>
      </c>
      <c r="C46">
        <v>5133</v>
      </c>
      <c r="D46">
        <v>489</v>
      </c>
      <c r="E46">
        <v>1564</v>
      </c>
      <c r="F46">
        <v>1050</v>
      </c>
    </row>
    <row r="47" spans="1:6" x14ac:dyDescent="0.3">
      <c r="A47" t="s">
        <v>7</v>
      </c>
      <c r="B47">
        <v>2023</v>
      </c>
      <c r="C47">
        <v>7776</v>
      </c>
      <c r="D47">
        <v>973</v>
      </c>
      <c r="E47">
        <v>1584</v>
      </c>
      <c r="F47">
        <v>5720</v>
      </c>
    </row>
    <row r="48" spans="1:6" x14ac:dyDescent="0.3">
      <c r="A48" t="s">
        <v>7</v>
      </c>
      <c r="B48">
        <v>2024</v>
      </c>
      <c r="C48">
        <v>9220</v>
      </c>
      <c r="D48">
        <v>1260</v>
      </c>
      <c r="E48">
        <v>1584</v>
      </c>
      <c r="F48">
        <v>8250</v>
      </c>
    </row>
    <row r="49" spans="1:6" x14ac:dyDescent="0.3">
      <c r="A49" t="s">
        <v>8</v>
      </c>
      <c r="C49">
        <v>28443</v>
      </c>
      <c r="D49">
        <v>9743</v>
      </c>
    </row>
    <row r="50" spans="1:6" x14ac:dyDescent="0.3">
      <c r="A50" t="s">
        <v>8</v>
      </c>
      <c r="B50">
        <v>2013</v>
      </c>
      <c r="C50">
        <v>3577</v>
      </c>
      <c r="D50">
        <v>1639</v>
      </c>
      <c r="E50">
        <v>401</v>
      </c>
      <c r="F50">
        <v>5993</v>
      </c>
    </row>
    <row r="51" spans="1:6" x14ac:dyDescent="0.3">
      <c r="A51" t="s">
        <v>8</v>
      </c>
      <c r="B51">
        <v>2014</v>
      </c>
      <c r="C51">
        <v>4830</v>
      </c>
      <c r="D51">
        <v>1741</v>
      </c>
      <c r="E51">
        <v>414</v>
      </c>
      <c r="F51">
        <v>8351</v>
      </c>
    </row>
    <row r="52" spans="1:6" x14ac:dyDescent="0.3">
      <c r="A52" t="s">
        <v>8</v>
      </c>
      <c r="B52">
        <v>2015</v>
      </c>
      <c r="C52">
        <v>6152</v>
      </c>
      <c r="D52">
        <v>2324</v>
      </c>
      <c r="E52">
        <v>414</v>
      </c>
      <c r="F52">
        <v>10351</v>
      </c>
    </row>
    <row r="53" spans="1:6" x14ac:dyDescent="0.3">
      <c r="A53" t="s">
        <v>8</v>
      </c>
      <c r="B53">
        <v>2016</v>
      </c>
      <c r="C53">
        <v>7109</v>
      </c>
      <c r="D53">
        <v>2856</v>
      </c>
      <c r="E53">
        <v>414</v>
      </c>
      <c r="F53">
        <v>13091</v>
      </c>
    </row>
    <row r="54" spans="1:6" x14ac:dyDescent="0.3">
      <c r="A54" t="s">
        <v>8</v>
      </c>
      <c r="B54">
        <v>2017</v>
      </c>
      <c r="C54">
        <v>8439</v>
      </c>
      <c r="D54">
        <v>3902</v>
      </c>
      <c r="E54">
        <v>414</v>
      </c>
      <c r="F54">
        <v>17112</v>
      </c>
    </row>
    <row r="55" spans="1:6" x14ac:dyDescent="0.3">
      <c r="A55" t="s">
        <v>8</v>
      </c>
      <c r="B55">
        <v>2018</v>
      </c>
      <c r="C55">
        <v>11323</v>
      </c>
      <c r="D55">
        <v>3690</v>
      </c>
      <c r="E55">
        <v>414</v>
      </c>
      <c r="F55">
        <v>20489</v>
      </c>
    </row>
    <row r="56" spans="1:6" x14ac:dyDescent="0.3">
      <c r="A56" t="s">
        <v>8</v>
      </c>
      <c r="B56">
        <v>2019</v>
      </c>
      <c r="C56">
        <v>10925</v>
      </c>
      <c r="D56">
        <v>4045</v>
      </c>
      <c r="E56">
        <v>414</v>
      </c>
      <c r="F56">
        <v>23958</v>
      </c>
    </row>
    <row r="57" spans="1:6" x14ac:dyDescent="0.3">
      <c r="A57" t="s">
        <v>8</v>
      </c>
      <c r="B57">
        <v>2020</v>
      </c>
      <c r="C57">
        <v>11873</v>
      </c>
      <c r="D57">
        <v>3785</v>
      </c>
      <c r="E57">
        <v>406</v>
      </c>
      <c r="F57">
        <v>25051</v>
      </c>
    </row>
    <row r="58" spans="1:6" x14ac:dyDescent="0.3">
      <c r="A58" t="s">
        <v>8</v>
      </c>
      <c r="B58">
        <v>2021</v>
      </c>
      <c r="C58">
        <v>12550</v>
      </c>
      <c r="D58">
        <v>5049</v>
      </c>
      <c r="E58">
        <v>406</v>
      </c>
      <c r="F58">
        <v>30035</v>
      </c>
    </row>
    <row r="59" spans="1:6" x14ac:dyDescent="0.3">
      <c r="A59" t="s">
        <v>8</v>
      </c>
      <c r="B59">
        <v>2022</v>
      </c>
      <c r="C59">
        <v>17119</v>
      </c>
      <c r="D59">
        <v>4953</v>
      </c>
      <c r="E59">
        <v>422</v>
      </c>
      <c r="F59">
        <v>41399</v>
      </c>
    </row>
    <row r="60" spans="1:6" x14ac:dyDescent="0.3">
      <c r="A60" t="s">
        <v>8</v>
      </c>
      <c r="B60">
        <v>2023</v>
      </c>
      <c r="C60">
        <v>20852</v>
      </c>
      <c r="D60">
        <v>5391</v>
      </c>
      <c r="E60">
        <v>432</v>
      </c>
      <c r="F60">
        <v>44957</v>
      </c>
    </row>
    <row r="61" spans="1:6" x14ac:dyDescent="0.3">
      <c r="A61" t="s">
        <v>8</v>
      </c>
      <c r="B61">
        <v>2024</v>
      </c>
      <c r="C61">
        <v>26711</v>
      </c>
      <c r="D61">
        <v>8104</v>
      </c>
      <c r="E61">
        <v>432</v>
      </c>
      <c r="F61">
        <v>52346</v>
      </c>
    </row>
    <row r="62" spans="1:6" x14ac:dyDescent="0.3">
      <c r="A62" t="s">
        <v>9</v>
      </c>
      <c r="C62">
        <v>54650</v>
      </c>
      <c r="D62">
        <v>12686</v>
      </c>
    </row>
    <row r="63" spans="1:6" x14ac:dyDescent="0.3">
      <c r="A63" t="s">
        <v>9</v>
      </c>
      <c r="B63">
        <v>2013</v>
      </c>
      <c r="C63">
        <v>6692</v>
      </c>
      <c r="D63">
        <v>-2295</v>
      </c>
      <c r="E63">
        <v>2393</v>
      </c>
      <c r="F63">
        <v>1900</v>
      </c>
    </row>
    <row r="64" spans="1:6" x14ac:dyDescent="0.3">
      <c r="A64" t="s">
        <v>9</v>
      </c>
      <c r="B64">
        <v>2014</v>
      </c>
      <c r="C64">
        <v>15328</v>
      </c>
      <c r="D64">
        <v>-291</v>
      </c>
      <c r="E64">
        <v>2872</v>
      </c>
      <c r="F64">
        <v>3671</v>
      </c>
    </row>
    <row r="65" spans="1:6" x14ac:dyDescent="0.3">
      <c r="A65" t="s">
        <v>9</v>
      </c>
      <c r="B65">
        <v>2015</v>
      </c>
      <c r="C65">
        <v>18683</v>
      </c>
      <c r="D65">
        <v>-816</v>
      </c>
      <c r="E65">
        <v>2872</v>
      </c>
      <c r="F65">
        <v>2853</v>
      </c>
    </row>
    <row r="66" spans="1:6" x14ac:dyDescent="0.3">
      <c r="A66" t="s">
        <v>9</v>
      </c>
      <c r="B66">
        <v>2016</v>
      </c>
      <c r="C66">
        <v>25377</v>
      </c>
      <c r="D66">
        <v>551</v>
      </c>
      <c r="E66">
        <v>3334</v>
      </c>
      <c r="F66">
        <v>4134</v>
      </c>
    </row>
    <row r="67" spans="1:6" x14ac:dyDescent="0.3">
      <c r="A67" t="s">
        <v>9</v>
      </c>
      <c r="B67">
        <v>2017</v>
      </c>
      <c r="C67">
        <v>22616</v>
      </c>
      <c r="D67">
        <v>-6174</v>
      </c>
      <c r="E67">
        <v>3857</v>
      </c>
      <c r="F67">
        <v>-857</v>
      </c>
    </row>
    <row r="68" spans="1:6" x14ac:dyDescent="0.3">
      <c r="A68" t="s">
        <v>9</v>
      </c>
      <c r="B68">
        <v>2018</v>
      </c>
      <c r="C68">
        <v>20304</v>
      </c>
      <c r="D68">
        <v>-2103</v>
      </c>
      <c r="E68">
        <v>3857</v>
      </c>
      <c r="F68">
        <v>-2968</v>
      </c>
    </row>
    <row r="69" spans="1:6" x14ac:dyDescent="0.3">
      <c r="A69" t="s">
        <v>9</v>
      </c>
      <c r="B69">
        <v>2019</v>
      </c>
      <c r="C69">
        <v>23884</v>
      </c>
      <c r="D69">
        <v>-984</v>
      </c>
      <c r="E69">
        <v>3857</v>
      </c>
      <c r="F69">
        <v>3855</v>
      </c>
    </row>
    <row r="70" spans="1:6" x14ac:dyDescent="0.3">
      <c r="A70" t="s">
        <v>9</v>
      </c>
      <c r="B70">
        <v>2020</v>
      </c>
      <c r="C70">
        <v>26468</v>
      </c>
      <c r="D70">
        <v>-2275</v>
      </c>
      <c r="E70">
        <v>3857</v>
      </c>
      <c r="F70">
        <v>2624</v>
      </c>
    </row>
    <row r="71" spans="1:6" x14ac:dyDescent="0.3">
      <c r="A71" t="s">
        <v>9</v>
      </c>
      <c r="B71">
        <v>2021</v>
      </c>
      <c r="C71">
        <v>26221</v>
      </c>
      <c r="D71">
        <v>1270</v>
      </c>
      <c r="E71">
        <v>3857</v>
      </c>
      <c r="F71">
        <v>9256</v>
      </c>
    </row>
    <row r="72" spans="1:6" x14ac:dyDescent="0.3">
      <c r="A72" t="s">
        <v>9</v>
      </c>
      <c r="B72">
        <v>2022</v>
      </c>
      <c r="C72">
        <v>27711</v>
      </c>
      <c r="D72">
        <v>4912</v>
      </c>
      <c r="E72">
        <v>3857</v>
      </c>
      <c r="F72">
        <v>14600</v>
      </c>
    </row>
    <row r="73" spans="1:6" x14ac:dyDescent="0.3">
      <c r="A73" t="s">
        <v>9</v>
      </c>
      <c r="B73">
        <v>2023</v>
      </c>
      <c r="C73">
        <v>38773</v>
      </c>
      <c r="D73">
        <v>10727</v>
      </c>
      <c r="E73">
        <v>3857</v>
      </c>
      <c r="F73">
        <v>26019</v>
      </c>
    </row>
    <row r="74" spans="1:6" x14ac:dyDescent="0.3">
      <c r="A74" t="s">
        <v>9</v>
      </c>
      <c r="B74">
        <v>2024</v>
      </c>
      <c r="C74">
        <v>50351</v>
      </c>
      <c r="D74">
        <v>20829</v>
      </c>
      <c r="E74">
        <v>3857</v>
      </c>
      <c r="F74">
        <v>39288</v>
      </c>
    </row>
    <row r="75" spans="1:6" x14ac:dyDescent="0.3">
      <c r="A75" t="s">
        <v>10</v>
      </c>
      <c r="C75">
        <v>32850</v>
      </c>
      <c r="D75">
        <v>3871</v>
      </c>
    </row>
    <row r="76" spans="1:6" x14ac:dyDescent="0.3">
      <c r="A76" t="s">
        <v>10</v>
      </c>
      <c r="B76">
        <v>2012</v>
      </c>
      <c r="C76">
        <v>9749</v>
      </c>
      <c r="D76">
        <v>1292</v>
      </c>
      <c r="E76">
        <v>308</v>
      </c>
      <c r="F76">
        <v>8489</v>
      </c>
    </row>
    <row r="77" spans="1:6" x14ac:dyDescent="0.3">
      <c r="A77" t="s">
        <v>10</v>
      </c>
      <c r="B77">
        <v>2013</v>
      </c>
      <c r="C77">
        <v>9161</v>
      </c>
      <c r="D77">
        <v>1278</v>
      </c>
      <c r="E77">
        <v>309</v>
      </c>
      <c r="F77">
        <v>9153</v>
      </c>
    </row>
    <row r="78" spans="1:6" x14ac:dyDescent="0.3">
      <c r="A78" t="s">
        <v>10</v>
      </c>
      <c r="B78">
        <v>2014</v>
      </c>
      <c r="C78">
        <v>9955</v>
      </c>
      <c r="D78">
        <v>1487</v>
      </c>
      <c r="E78">
        <v>310</v>
      </c>
      <c r="F78">
        <v>9760</v>
      </c>
    </row>
    <row r="79" spans="1:6" x14ac:dyDescent="0.3">
      <c r="A79" t="s">
        <v>10</v>
      </c>
      <c r="B79">
        <v>2015</v>
      </c>
      <c r="C79">
        <v>9437</v>
      </c>
      <c r="D79">
        <v>808</v>
      </c>
      <c r="E79">
        <v>310</v>
      </c>
      <c r="F79">
        <v>9961</v>
      </c>
    </row>
    <row r="80" spans="1:6" x14ac:dyDescent="0.3">
      <c r="A80" t="s">
        <v>10</v>
      </c>
      <c r="B80">
        <v>2016</v>
      </c>
      <c r="C80">
        <v>20094</v>
      </c>
      <c r="D80">
        <v>1434</v>
      </c>
      <c r="E80">
        <v>397</v>
      </c>
      <c r="F80">
        <v>19424</v>
      </c>
    </row>
    <row r="81" spans="1:6" x14ac:dyDescent="0.3">
      <c r="A81" t="s">
        <v>10</v>
      </c>
      <c r="B81">
        <v>2017</v>
      </c>
      <c r="C81">
        <v>23609</v>
      </c>
      <c r="D81">
        <v>1945</v>
      </c>
      <c r="E81">
        <v>397</v>
      </c>
      <c r="F81">
        <v>20275</v>
      </c>
    </row>
    <row r="82" spans="1:6" x14ac:dyDescent="0.3">
      <c r="A82" t="s">
        <v>10</v>
      </c>
      <c r="B82">
        <v>2018</v>
      </c>
      <c r="C82">
        <v>26041</v>
      </c>
      <c r="D82">
        <v>2973</v>
      </c>
      <c r="E82">
        <v>397</v>
      </c>
      <c r="F82">
        <v>21973</v>
      </c>
    </row>
    <row r="83" spans="1:6" x14ac:dyDescent="0.3">
      <c r="A83" t="s">
        <v>10</v>
      </c>
      <c r="B83">
        <v>2019</v>
      </c>
      <c r="C83">
        <v>27104</v>
      </c>
      <c r="D83">
        <v>2783</v>
      </c>
      <c r="E83">
        <v>397</v>
      </c>
      <c r="F83">
        <v>23681</v>
      </c>
    </row>
    <row r="84" spans="1:6" x14ac:dyDescent="0.3">
      <c r="A84" t="s">
        <v>10</v>
      </c>
      <c r="B84">
        <v>2020</v>
      </c>
      <c r="C84">
        <v>24516</v>
      </c>
      <c r="D84">
        <v>3107</v>
      </c>
      <c r="E84">
        <v>397</v>
      </c>
      <c r="F84">
        <v>22360</v>
      </c>
    </row>
    <row r="85" spans="1:6" x14ac:dyDescent="0.3">
      <c r="A85" t="s">
        <v>10</v>
      </c>
      <c r="B85">
        <v>2021</v>
      </c>
      <c r="C85">
        <v>28965</v>
      </c>
      <c r="D85">
        <v>3711</v>
      </c>
      <c r="E85">
        <v>397</v>
      </c>
      <c r="F85">
        <v>24957</v>
      </c>
    </row>
    <row r="86" spans="1:6" x14ac:dyDescent="0.3">
      <c r="A86" t="s">
        <v>10</v>
      </c>
      <c r="B86">
        <v>2023</v>
      </c>
      <c r="C86">
        <v>38937</v>
      </c>
      <c r="D86">
        <v>3024</v>
      </c>
      <c r="E86">
        <v>397</v>
      </c>
      <c r="F86">
        <v>31301</v>
      </c>
    </row>
    <row r="87" spans="1:6" x14ac:dyDescent="0.3">
      <c r="A87" t="s">
        <v>10</v>
      </c>
      <c r="B87">
        <v>2024</v>
      </c>
      <c r="C87">
        <v>33160</v>
      </c>
      <c r="D87">
        <v>4738</v>
      </c>
      <c r="E87">
        <v>440</v>
      </c>
      <c r="F87">
        <v>41016</v>
      </c>
    </row>
    <row r="88" spans="1:6" x14ac:dyDescent="0.3">
      <c r="A88" t="s">
        <v>11</v>
      </c>
      <c r="C88">
        <v>20469</v>
      </c>
      <c r="D88">
        <v>1224</v>
      </c>
    </row>
    <row r="89" spans="1:6" x14ac:dyDescent="0.3">
      <c r="A89" t="s">
        <v>11</v>
      </c>
      <c r="B89">
        <v>2013</v>
      </c>
      <c r="C89">
        <v>3769</v>
      </c>
      <c r="D89">
        <v>303</v>
      </c>
      <c r="E89">
        <v>70</v>
      </c>
      <c r="F89">
        <v>2677</v>
      </c>
    </row>
    <row r="90" spans="1:6" x14ac:dyDescent="0.3">
      <c r="A90" t="s">
        <v>11</v>
      </c>
      <c r="B90">
        <v>2014</v>
      </c>
      <c r="C90">
        <v>4357</v>
      </c>
      <c r="D90">
        <v>315</v>
      </c>
      <c r="E90">
        <v>70</v>
      </c>
      <c r="F90">
        <v>2907</v>
      </c>
    </row>
    <row r="91" spans="1:6" x14ac:dyDescent="0.3">
      <c r="A91" t="s">
        <v>11</v>
      </c>
      <c r="B91">
        <v>2015</v>
      </c>
      <c r="C91">
        <v>5129</v>
      </c>
      <c r="D91">
        <v>335</v>
      </c>
      <c r="E91">
        <v>70</v>
      </c>
      <c r="F91">
        <v>3102</v>
      </c>
    </row>
    <row r="92" spans="1:6" x14ac:dyDescent="0.3">
      <c r="A92" t="s">
        <v>11</v>
      </c>
      <c r="B92">
        <v>2016</v>
      </c>
      <c r="C92">
        <v>6150</v>
      </c>
      <c r="D92">
        <v>235</v>
      </c>
      <c r="E92">
        <v>70</v>
      </c>
      <c r="F92">
        <v>3262</v>
      </c>
    </row>
    <row r="93" spans="1:6" x14ac:dyDescent="0.3">
      <c r="A93" t="s">
        <v>11</v>
      </c>
      <c r="B93">
        <v>2017</v>
      </c>
      <c r="C93">
        <v>7256</v>
      </c>
      <c r="D93">
        <v>131</v>
      </c>
      <c r="E93">
        <v>70</v>
      </c>
      <c r="F93">
        <v>3244</v>
      </c>
    </row>
    <row r="94" spans="1:6" x14ac:dyDescent="0.3">
      <c r="A94" t="s">
        <v>11</v>
      </c>
      <c r="B94">
        <v>2018</v>
      </c>
      <c r="C94">
        <v>8243</v>
      </c>
      <c r="D94">
        <v>60</v>
      </c>
      <c r="E94">
        <v>70</v>
      </c>
      <c r="F94">
        <v>3182</v>
      </c>
    </row>
    <row r="95" spans="1:6" x14ac:dyDescent="0.3">
      <c r="A95" t="s">
        <v>11</v>
      </c>
      <c r="B95">
        <v>2019</v>
      </c>
      <c r="C95">
        <v>9617</v>
      </c>
      <c r="D95">
        <v>200</v>
      </c>
      <c r="E95">
        <v>70</v>
      </c>
      <c r="F95">
        <v>3264</v>
      </c>
    </row>
    <row r="96" spans="1:6" x14ac:dyDescent="0.3">
      <c r="A96" t="s">
        <v>11</v>
      </c>
      <c r="B96">
        <v>2020</v>
      </c>
      <c r="C96">
        <v>11247</v>
      </c>
      <c r="D96">
        <v>432</v>
      </c>
      <c r="E96">
        <v>70</v>
      </c>
      <c r="F96">
        <v>3270</v>
      </c>
    </row>
    <row r="97" spans="1:6" x14ac:dyDescent="0.3">
      <c r="A97" t="s">
        <v>11</v>
      </c>
      <c r="B97">
        <v>2021</v>
      </c>
      <c r="C97">
        <v>10560</v>
      </c>
      <c r="D97">
        <v>137</v>
      </c>
      <c r="E97">
        <v>72</v>
      </c>
      <c r="F97">
        <v>4531</v>
      </c>
    </row>
    <row r="98" spans="1:6" x14ac:dyDescent="0.3">
      <c r="A98" t="s">
        <v>11</v>
      </c>
      <c r="B98">
        <v>2022</v>
      </c>
      <c r="C98">
        <v>14663</v>
      </c>
      <c r="D98">
        <v>1108</v>
      </c>
      <c r="E98">
        <v>72</v>
      </c>
      <c r="F98">
        <v>5551</v>
      </c>
    </row>
    <row r="99" spans="1:6" x14ac:dyDescent="0.3">
      <c r="A99" t="s">
        <v>11</v>
      </c>
      <c r="B99">
        <v>2023</v>
      </c>
      <c r="C99">
        <v>16612</v>
      </c>
      <c r="D99">
        <v>844</v>
      </c>
      <c r="E99">
        <v>72</v>
      </c>
      <c r="F99">
        <v>6126</v>
      </c>
    </row>
    <row r="100" spans="1:6" x14ac:dyDescent="0.3">
      <c r="A100" t="s">
        <v>11</v>
      </c>
      <c r="B100">
        <v>2024</v>
      </c>
      <c r="C100">
        <v>19059</v>
      </c>
      <c r="D100">
        <v>935</v>
      </c>
      <c r="E100">
        <v>72</v>
      </c>
      <c r="F100">
        <v>6864</v>
      </c>
    </row>
    <row r="101" spans="1:6" x14ac:dyDescent="0.3">
      <c r="A101" t="s">
        <v>12</v>
      </c>
      <c r="C101">
        <v>34831</v>
      </c>
      <c r="D101">
        <v>4631</v>
      </c>
    </row>
    <row r="102" spans="1:6" x14ac:dyDescent="0.3">
      <c r="A102" t="s">
        <v>12</v>
      </c>
      <c r="B102">
        <v>2013</v>
      </c>
      <c r="C102">
        <v>10504</v>
      </c>
      <c r="D102">
        <v>1160</v>
      </c>
      <c r="E102">
        <v>96</v>
      </c>
      <c r="F102">
        <v>3288</v>
      </c>
    </row>
    <row r="103" spans="1:6" x14ac:dyDescent="0.3">
      <c r="A103" t="s">
        <v>12</v>
      </c>
      <c r="B103">
        <v>2014</v>
      </c>
      <c r="C103">
        <v>12220</v>
      </c>
      <c r="D103">
        <v>1263</v>
      </c>
      <c r="E103">
        <v>96</v>
      </c>
      <c r="F103">
        <v>3943</v>
      </c>
    </row>
    <row r="104" spans="1:6" x14ac:dyDescent="0.3">
      <c r="A104" t="s">
        <v>12</v>
      </c>
      <c r="B104">
        <v>2015</v>
      </c>
      <c r="C104">
        <v>13615</v>
      </c>
      <c r="D104">
        <v>1427</v>
      </c>
      <c r="E104">
        <v>96</v>
      </c>
      <c r="F104">
        <v>4646</v>
      </c>
    </row>
    <row r="105" spans="1:6" x14ac:dyDescent="0.3">
      <c r="A105" t="s">
        <v>12</v>
      </c>
      <c r="B105">
        <v>2016</v>
      </c>
      <c r="C105">
        <v>14271</v>
      </c>
      <c r="D105">
        <v>1803</v>
      </c>
      <c r="E105">
        <v>96</v>
      </c>
      <c r="F105">
        <v>6429</v>
      </c>
    </row>
    <row r="106" spans="1:6" x14ac:dyDescent="0.3">
      <c r="A106" t="s">
        <v>12</v>
      </c>
      <c r="B106">
        <v>2017</v>
      </c>
      <c r="C106">
        <v>15062</v>
      </c>
      <c r="D106">
        <v>2016</v>
      </c>
      <c r="E106">
        <v>96</v>
      </c>
      <c r="F106">
        <v>7508</v>
      </c>
    </row>
    <row r="107" spans="1:6" x14ac:dyDescent="0.3">
      <c r="A107" t="s">
        <v>12</v>
      </c>
      <c r="B107">
        <v>2018</v>
      </c>
      <c r="C107">
        <v>16825</v>
      </c>
      <c r="D107">
        <v>2098</v>
      </c>
      <c r="E107">
        <v>96</v>
      </c>
      <c r="F107">
        <v>8314</v>
      </c>
    </row>
    <row r="108" spans="1:6" x14ac:dyDescent="0.3">
      <c r="A108" t="s">
        <v>12</v>
      </c>
      <c r="B108">
        <v>2019</v>
      </c>
      <c r="C108">
        <v>19240</v>
      </c>
      <c r="D108">
        <v>2208</v>
      </c>
      <c r="E108">
        <v>96</v>
      </c>
      <c r="F108">
        <v>9375</v>
      </c>
    </row>
    <row r="109" spans="1:6" x14ac:dyDescent="0.3">
      <c r="A109" t="s">
        <v>12</v>
      </c>
      <c r="B109">
        <v>2020</v>
      </c>
      <c r="C109">
        <v>20211</v>
      </c>
      <c r="D109">
        <v>2774</v>
      </c>
      <c r="E109">
        <v>96</v>
      </c>
      <c r="F109">
        <v>10034</v>
      </c>
    </row>
    <row r="110" spans="1:6" x14ac:dyDescent="0.3">
      <c r="A110" t="s">
        <v>12</v>
      </c>
      <c r="B110">
        <v>2021</v>
      </c>
      <c r="C110">
        <v>21713</v>
      </c>
      <c r="D110">
        <v>3207</v>
      </c>
      <c r="E110">
        <v>96</v>
      </c>
      <c r="F110">
        <v>12710</v>
      </c>
    </row>
    <row r="111" spans="1:6" x14ac:dyDescent="0.3">
      <c r="A111" t="s">
        <v>12</v>
      </c>
      <c r="B111">
        <v>2022</v>
      </c>
      <c r="C111">
        <v>29101</v>
      </c>
      <c r="D111">
        <v>3085</v>
      </c>
      <c r="E111">
        <v>96</v>
      </c>
      <c r="F111">
        <v>13716</v>
      </c>
    </row>
    <row r="112" spans="1:6" x14ac:dyDescent="0.3">
      <c r="A112" t="s">
        <v>12</v>
      </c>
      <c r="B112">
        <v>2023</v>
      </c>
      <c r="C112">
        <v>34489</v>
      </c>
      <c r="D112">
        <v>4195</v>
      </c>
      <c r="E112">
        <v>96</v>
      </c>
      <c r="F112">
        <v>15896</v>
      </c>
    </row>
    <row r="113" spans="1:6" x14ac:dyDescent="0.3">
      <c r="A113" t="s">
        <v>12</v>
      </c>
      <c r="B113">
        <v>2024</v>
      </c>
      <c r="C113">
        <v>35495</v>
      </c>
      <c r="D113">
        <v>5558</v>
      </c>
      <c r="E113">
        <v>96</v>
      </c>
      <c r="F113">
        <v>17928</v>
      </c>
    </row>
    <row r="114" spans="1:6" x14ac:dyDescent="0.3">
      <c r="A114" t="s">
        <v>13</v>
      </c>
      <c r="C114">
        <v>4826</v>
      </c>
      <c r="D114">
        <v>668</v>
      </c>
    </row>
    <row r="115" spans="1:6" x14ac:dyDescent="0.3">
      <c r="A115" t="s">
        <v>13</v>
      </c>
      <c r="B115">
        <v>2018</v>
      </c>
      <c r="C115">
        <v>1374</v>
      </c>
      <c r="D115">
        <v>162</v>
      </c>
      <c r="E115">
        <v>257</v>
      </c>
      <c r="F115">
        <v>759</v>
      </c>
    </row>
    <row r="116" spans="1:6" x14ac:dyDescent="0.3">
      <c r="A116" t="s">
        <v>13</v>
      </c>
      <c r="B116">
        <v>2019</v>
      </c>
      <c r="C116">
        <v>1719</v>
      </c>
      <c r="D116">
        <v>229</v>
      </c>
      <c r="E116">
        <v>110</v>
      </c>
      <c r="F116">
        <v>992</v>
      </c>
    </row>
    <row r="117" spans="1:6" x14ac:dyDescent="0.3">
      <c r="A117" t="s">
        <v>13</v>
      </c>
      <c r="B117">
        <v>2020</v>
      </c>
      <c r="C117">
        <v>1875</v>
      </c>
      <c r="D117">
        <v>436</v>
      </c>
      <c r="E117">
        <v>110</v>
      </c>
      <c r="F117">
        <v>1361</v>
      </c>
    </row>
    <row r="118" spans="1:6" x14ac:dyDescent="0.3">
      <c r="A118" t="s">
        <v>13</v>
      </c>
      <c r="B118">
        <v>2021</v>
      </c>
      <c r="C118">
        <v>1696</v>
      </c>
      <c r="D118">
        <v>463</v>
      </c>
      <c r="E118">
        <v>110</v>
      </c>
      <c r="F118">
        <v>1824</v>
      </c>
    </row>
    <row r="119" spans="1:6" x14ac:dyDescent="0.3">
      <c r="A119" t="s">
        <v>13</v>
      </c>
      <c r="B119">
        <v>2022</v>
      </c>
      <c r="C119">
        <v>3038</v>
      </c>
      <c r="D119">
        <v>509</v>
      </c>
      <c r="E119">
        <v>110</v>
      </c>
      <c r="F119">
        <v>2306</v>
      </c>
    </row>
    <row r="120" spans="1:6" x14ac:dyDescent="0.3">
      <c r="A120" t="s">
        <v>13</v>
      </c>
      <c r="B120">
        <v>2023</v>
      </c>
      <c r="C120">
        <v>4378</v>
      </c>
      <c r="D120">
        <v>546</v>
      </c>
      <c r="E120">
        <v>110</v>
      </c>
      <c r="F120">
        <v>2831</v>
      </c>
    </row>
    <row r="121" spans="1:6" x14ac:dyDescent="0.3">
      <c r="A121" t="s">
        <v>13</v>
      </c>
      <c r="B121">
        <v>2024</v>
      </c>
      <c r="C121">
        <v>4475</v>
      </c>
      <c r="D121">
        <v>668</v>
      </c>
      <c r="E121">
        <v>110</v>
      </c>
      <c r="F121">
        <v>3470</v>
      </c>
    </row>
    <row r="122" spans="1:6" x14ac:dyDescent="0.3">
      <c r="A122" t="s">
        <v>14</v>
      </c>
      <c r="C122">
        <v>120659</v>
      </c>
      <c r="D122">
        <v>26386</v>
      </c>
    </row>
    <row r="123" spans="1:6" x14ac:dyDescent="0.3">
      <c r="A123" t="s">
        <v>14</v>
      </c>
      <c r="B123">
        <v>2013</v>
      </c>
      <c r="C123">
        <v>27183</v>
      </c>
      <c r="D123">
        <v>5179</v>
      </c>
      <c r="E123">
        <v>468</v>
      </c>
      <c r="F123">
        <v>32690</v>
      </c>
    </row>
    <row r="124" spans="1:6" x14ac:dyDescent="0.3">
      <c r="A124" t="s">
        <v>14</v>
      </c>
      <c r="B124">
        <v>2014</v>
      </c>
      <c r="C124">
        <v>30641</v>
      </c>
      <c r="D124">
        <v>6218</v>
      </c>
      <c r="E124">
        <v>470</v>
      </c>
      <c r="F124">
        <v>37926</v>
      </c>
    </row>
    <row r="125" spans="1:6" x14ac:dyDescent="0.3">
      <c r="A125" t="s">
        <v>14</v>
      </c>
      <c r="B125">
        <v>2015</v>
      </c>
      <c r="C125">
        <v>35479</v>
      </c>
      <c r="D125">
        <v>7358</v>
      </c>
      <c r="E125">
        <v>474</v>
      </c>
      <c r="F125">
        <v>44475</v>
      </c>
    </row>
    <row r="126" spans="1:6" x14ac:dyDescent="0.3">
      <c r="A126" t="s">
        <v>14</v>
      </c>
      <c r="B126">
        <v>2016</v>
      </c>
      <c r="C126">
        <v>40988</v>
      </c>
      <c r="D126">
        <v>8224</v>
      </c>
      <c r="E126">
        <v>477</v>
      </c>
      <c r="F126">
        <v>53082</v>
      </c>
    </row>
    <row r="127" spans="1:6" x14ac:dyDescent="0.3">
      <c r="A127" t="s">
        <v>14</v>
      </c>
      <c r="B127">
        <v>2017</v>
      </c>
      <c r="C127">
        <v>44542</v>
      </c>
      <c r="D127">
        <v>3679</v>
      </c>
      <c r="E127">
        <v>479</v>
      </c>
      <c r="F127">
        <v>55901</v>
      </c>
    </row>
    <row r="128" spans="1:6" x14ac:dyDescent="0.3">
      <c r="A128" t="s">
        <v>14</v>
      </c>
      <c r="B128">
        <v>2018</v>
      </c>
      <c r="C128">
        <v>45780</v>
      </c>
      <c r="D128">
        <v>276</v>
      </c>
      <c r="E128">
        <v>513</v>
      </c>
      <c r="F128">
        <v>63694</v>
      </c>
    </row>
    <row r="129" spans="1:6" x14ac:dyDescent="0.3">
      <c r="A129" t="s">
        <v>14</v>
      </c>
      <c r="B129">
        <v>2019</v>
      </c>
      <c r="C129">
        <v>54986</v>
      </c>
      <c r="D129">
        <v>4677</v>
      </c>
      <c r="E129">
        <v>514</v>
      </c>
      <c r="F129">
        <v>67288</v>
      </c>
    </row>
    <row r="130" spans="1:6" x14ac:dyDescent="0.3">
      <c r="A130" t="s">
        <v>14</v>
      </c>
      <c r="B130">
        <v>2020</v>
      </c>
      <c r="C130">
        <v>62635</v>
      </c>
      <c r="D130">
        <v>1627</v>
      </c>
      <c r="E130">
        <v>564</v>
      </c>
      <c r="F130">
        <v>85776</v>
      </c>
    </row>
    <row r="131" spans="1:6" x14ac:dyDescent="0.3">
      <c r="A131" t="s">
        <v>14</v>
      </c>
      <c r="B131">
        <v>2021</v>
      </c>
      <c r="C131">
        <v>63346</v>
      </c>
      <c r="D131">
        <v>6588</v>
      </c>
      <c r="E131">
        <v>613</v>
      </c>
      <c r="F131">
        <v>102981</v>
      </c>
    </row>
    <row r="132" spans="1:6" x14ac:dyDescent="0.3">
      <c r="A132" t="s">
        <v>14</v>
      </c>
      <c r="B132">
        <v>2022</v>
      </c>
      <c r="C132">
        <v>67377</v>
      </c>
      <c r="D132">
        <v>13025</v>
      </c>
      <c r="E132">
        <v>614</v>
      </c>
      <c r="F132">
        <v>117647</v>
      </c>
    </row>
    <row r="133" spans="1:6" x14ac:dyDescent="0.3">
      <c r="A133" t="s">
        <v>14</v>
      </c>
      <c r="B133">
        <v>2023</v>
      </c>
      <c r="C133">
        <v>85164</v>
      </c>
      <c r="D133">
        <v>9580</v>
      </c>
      <c r="E133">
        <v>615</v>
      </c>
      <c r="F133">
        <v>129166</v>
      </c>
    </row>
    <row r="134" spans="1:6" x14ac:dyDescent="0.3">
      <c r="A134" t="s">
        <v>14</v>
      </c>
      <c r="B134">
        <v>2024</v>
      </c>
      <c r="C134">
        <v>109369</v>
      </c>
      <c r="D134">
        <v>24861</v>
      </c>
      <c r="E134">
        <v>617</v>
      </c>
      <c r="F134">
        <v>156406</v>
      </c>
    </row>
    <row r="135" spans="1:6" x14ac:dyDescent="0.3">
      <c r="A135" t="s">
        <v>15</v>
      </c>
      <c r="C135">
        <v>48900</v>
      </c>
      <c r="D135">
        <v>7371</v>
      </c>
    </row>
    <row r="136" spans="1:6" x14ac:dyDescent="0.3">
      <c r="A136" t="s">
        <v>15</v>
      </c>
      <c r="B136">
        <v>2013</v>
      </c>
      <c r="C136">
        <v>20025</v>
      </c>
      <c r="D136">
        <v>3133</v>
      </c>
      <c r="E136">
        <v>289</v>
      </c>
      <c r="F136">
        <v>7776</v>
      </c>
    </row>
    <row r="137" spans="1:6" x14ac:dyDescent="0.3">
      <c r="A137" t="s">
        <v>15</v>
      </c>
      <c r="B137">
        <v>2014</v>
      </c>
      <c r="C137">
        <v>20137</v>
      </c>
      <c r="D137">
        <v>3380</v>
      </c>
      <c r="E137">
        <v>289</v>
      </c>
      <c r="F137">
        <v>9878</v>
      </c>
    </row>
    <row r="138" spans="1:6" x14ac:dyDescent="0.3">
      <c r="A138" t="s">
        <v>15</v>
      </c>
      <c r="B138">
        <v>2015</v>
      </c>
      <c r="C138">
        <v>21595</v>
      </c>
      <c r="D138">
        <v>3026</v>
      </c>
      <c r="E138">
        <v>289</v>
      </c>
      <c r="F138">
        <v>10806</v>
      </c>
    </row>
    <row r="139" spans="1:6" x14ac:dyDescent="0.3">
      <c r="A139" t="s">
        <v>15</v>
      </c>
      <c r="B139">
        <v>2016</v>
      </c>
      <c r="C139">
        <v>22574</v>
      </c>
      <c r="D139">
        <v>4061</v>
      </c>
      <c r="E139">
        <v>289</v>
      </c>
      <c r="F139">
        <v>13731</v>
      </c>
    </row>
    <row r="140" spans="1:6" x14ac:dyDescent="0.3">
      <c r="A140" t="s">
        <v>15</v>
      </c>
      <c r="B140">
        <v>2017</v>
      </c>
      <c r="C140">
        <v>21755</v>
      </c>
      <c r="D140">
        <v>4079</v>
      </c>
      <c r="E140">
        <v>289</v>
      </c>
      <c r="F140">
        <v>17567</v>
      </c>
    </row>
    <row r="141" spans="1:6" x14ac:dyDescent="0.3">
      <c r="A141" t="s">
        <v>15</v>
      </c>
      <c r="B141">
        <v>2018</v>
      </c>
      <c r="C141">
        <v>25210</v>
      </c>
      <c r="D141">
        <v>4219</v>
      </c>
      <c r="E141">
        <v>289</v>
      </c>
      <c r="F141">
        <v>20136</v>
      </c>
    </row>
    <row r="142" spans="1:6" x14ac:dyDescent="0.3">
      <c r="A142" t="s">
        <v>15</v>
      </c>
      <c r="B142">
        <v>2019</v>
      </c>
      <c r="C142">
        <v>30358</v>
      </c>
      <c r="D142">
        <v>4928</v>
      </c>
      <c r="E142">
        <v>289</v>
      </c>
      <c r="F142">
        <v>22944</v>
      </c>
    </row>
    <row r="143" spans="1:6" x14ac:dyDescent="0.3">
      <c r="A143" t="s">
        <v>15</v>
      </c>
      <c r="B143">
        <v>2020</v>
      </c>
      <c r="C143">
        <v>29919</v>
      </c>
      <c r="D143">
        <v>5212</v>
      </c>
      <c r="E143">
        <v>289</v>
      </c>
      <c r="F143">
        <v>21373</v>
      </c>
    </row>
    <row r="144" spans="1:6" x14ac:dyDescent="0.3">
      <c r="A144" t="s">
        <v>15</v>
      </c>
      <c r="B144">
        <v>2021</v>
      </c>
      <c r="C144">
        <v>27741</v>
      </c>
      <c r="D144">
        <v>4857</v>
      </c>
      <c r="E144">
        <v>289</v>
      </c>
      <c r="F144">
        <v>26984</v>
      </c>
    </row>
    <row r="145" spans="1:6" x14ac:dyDescent="0.3">
      <c r="A145" t="s">
        <v>15</v>
      </c>
      <c r="B145">
        <v>2022</v>
      </c>
      <c r="C145">
        <v>33145</v>
      </c>
      <c r="D145">
        <v>6166</v>
      </c>
      <c r="E145">
        <v>289</v>
      </c>
      <c r="F145">
        <v>29570</v>
      </c>
    </row>
    <row r="146" spans="1:6" x14ac:dyDescent="0.3">
      <c r="A146" t="s">
        <v>15</v>
      </c>
      <c r="B146">
        <v>2023</v>
      </c>
      <c r="C146">
        <v>36455</v>
      </c>
      <c r="D146">
        <v>6060</v>
      </c>
      <c r="E146">
        <v>283</v>
      </c>
      <c r="F146">
        <v>29079</v>
      </c>
    </row>
    <row r="147" spans="1:6" x14ac:dyDescent="0.3">
      <c r="A147" t="s">
        <v>15</v>
      </c>
      <c r="B147">
        <v>2024</v>
      </c>
      <c r="C147">
        <v>44870</v>
      </c>
      <c r="D147">
        <v>7708</v>
      </c>
      <c r="E147">
        <v>279</v>
      </c>
      <c r="F147">
        <v>28683</v>
      </c>
    </row>
    <row r="148" spans="1:6" x14ac:dyDescent="0.3">
      <c r="A148" t="s">
        <v>16</v>
      </c>
      <c r="C148">
        <v>126263</v>
      </c>
      <c r="D148">
        <v>16520</v>
      </c>
    </row>
    <row r="149" spans="1:6" x14ac:dyDescent="0.3">
      <c r="A149" t="s">
        <v>16</v>
      </c>
      <c r="B149">
        <v>2013</v>
      </c>
      <c r="C149">
        <v>8055</v>
      </c>
      <c r="D149">
        <v>2214</v>
      </c>
      <c r="E149">
        <v>80</v>
      </c>
      <c r="F149">
        <v>7722</v>
      </c>
    </row>
    <row r="150" spans="1:6" x14ac:dyDescent="0.3">
      <c r="A150" t="s">
        <v>16</v>
      </c>
      <c r="B150">
        <v>2014</v>
      </c>
      <c r="C150">
        <v>6023</v>
      </c>
      <c r="D150">
        <v>2191</v>
      </c>
      <c r="E150">
        <v>80</v>
      </c>
      <c r="F150">
        <v>9232</v>
      </c>
    </row>
    <row r="151" spans="1:6" x14ac:dyDescent="0.3">
      <c r="A151" t="s">
        <v>16</v>
      </c>
      <c r="B151">
        <v>2015</v>
      </c>
      <c r="C151">
        <v>11335</v>
      </c>
      <c r="D151">
        <v>2409</v>
      </c>
      <c r="E151">
        <v>80</v>
      </c>
      <c r="F151">
        <v>11009</v>
      </c>
    </row>
    <row r="152" spans="1:6" x14ac:dyDescent="0.3">
      <c r="A152" t="s">
        <v>16</v>
      </c>
      <c r="B152">
        <v>2016</v>
      </c>
      <c r="C152">
        <v>20533</v>
      </c>
      <c r="D152">
        <v>2775</v>
      </c>
      <c r="E152">
        <v>80</v>
      </c>
      <c r="F152">
        <v>13519</v>
      </c>
    </row>
    <row r="153" spans="1:6" x14ac:dyDescent="0.3">
      <c r="A153" t="s">
        <v>16</v>
      </c>
      <c r="B153">
        <v>2017</v>
      </c>
      <c r="C153">
        <v>24507</v>
      </c>
      <c r="D153">
        <v>3450</v>
      </c>
      <c r="E153">
        <v>80</v>
      </c>
      <c r="F153">
        <v>16071</v>
      </c>
    </row>
    <row r="154" spans="1:6" x14ac:dyDescent="0.3">
      <c r="A154" t="s">
        <v>16</v>
      </c>
      <c r="B154">
        <v>2018</v>
      </c>
      <c r="C154">
        <v>32862</v>
      </c>
      <c r="D154">
        <v>4176</v>
      </c>
      <c r="E154">
        <v>80</v>
      </c>
      <c r="F154">
        <v>20403</v>
      </c>
    </row>
    <row r="155" spans="1:6" x14ac:dyDescent="0.3">
      <c r="A155" t="s">
        <v>16</v>
      </c>
      <c r="B155">
        <v>2019</v>
      </c>
      <c r="C155">
        <v>42605</v>
      </c>
      <c r="D155">
        <v>5374</v>
      </c>
      <c r="E155">
        <v>80</v>
      </c>
      <c r="F155">
        <v>23660</v>
      </c>
    </row>
    <row r="156" spans="1:6" x14ac:dyDescent="0.3">
      <c r="A156" t="s">
        <v>16</v>
      </c>
      <c r="B156">
        <v>2020</v>
      </c>
      <c r="C156">
        <v>54351</v>
      </c>
      <c r="D156">
        <v>5994</v>
      </c>
      <c r="E156">
        <v>80</v>
      </c>
      <c r="F156">
        <v>31222</v>
      </c>
    </row>
    <row r="157" spans="1:6" x14ac:dyDescent="0.3">
      <c r="A157" t="s">
        <v>16</v>
      </c>
      <c r="B157">
        <v>2021</v>
      </c>
      <c r="C157">
        <v>60592</v>
      </c>
      <c r="D157">
        <v>7367</v>
      </c>
      <c r="E157">
        <v>80</v>
      </c>
      <c r="F157">
        <v>35750</v>
      </c>
    </row>
    <row r="158" spans="1:6" x14ac:dyDescent="0.3">
      <c r="A158" t="s">
        <v>16</v>
      </c>
      <c r="B158">
        <v>2022</v>
      </c>
      <c r="C158">
        <v>68406</v>
      </c>
      <c r="D158">
        <v>8314</v>
      </c>
      <c r="E158">
        <v>80</v>
      </c>
      <c r="F158">
        <v>40167</v>
      </c>
    </row>
    <row r="159" spans="1:6" x14ac:dyDescent="0.3">
      <c r="A159" t="s">
        <v>16</v>
      </c>
      <c r="B159">
        <v>2023</v>
      </c>
      <c r="C159">
        <v>82072</v>
      </c>
      <c r="D159">
        <v>12210</v>
      </c>
      <c r="E159">
        <v>159</v>
      </c>
      <c r="F159">
        <v>46248</v>
      </c>
    </row>
    <row r="160" spans="1:6" x14ac:dyDescent="0.3">
      <c r="A160" t="s">
        <v>16</v>
      </c>
      <c r="B160">
        <v>2024</v>
      </c>
      <c r="C160">
        <v>110382</v>
      </c>
      <c r="D160">
        <v>15595</v>
      </c>
      <c r="E160">
        <v>159</v>
      </c>
      <c r="F160">
        <v>60169</v>
      </c>
    </row>
    <row r="161" spans="1:6" x14ac:dyDescent="0.3">
      <c r="A161" t="s">
        <v>17</v>
      </c>
      <c r="C161">
        <v>1733</v>
      </c>
      <c r="D161">
        <v>7486</v>
      </c>
    </row>
    <row r="162" spans="1:6" x14ac:dyDescent="0.3">
      <c r="A162" t="s">
        <v>17</v>
      </c>
      <c r="B162">
        <v>2013</v>
      </c>
      <c r="C162">
        <v>337</v>
      </c>
      <c r="D162">
        <v>1856</v>
      </c>
      <c r="E162">
        <v>111</v>
      </c>
      <c r="F162">
        <v>10234</v>
      </c>
    </row>
    <row r="163" spans="1:6" x14ac:dyDescent="0.3">
      <c r="A163" t="s">
        <v>17</v>
      </c>
      <c r="B163">
        <v>2014</v>
      </c>
      <c r="C163">
        <v>423</v>
      </c>
      <c r="D163">
        <v>1988</v>
      </c>
      <c r="E163">
        <v>111</v>
      </c>
      <c r="F163">
        <v>11888</v>
      </c>
    </row>
    <row r="164" spans="1:6" x14ac:dyDescent="0.3">
      <c r="A164" t="s">
        <v>17</v>
      </c>
      <c r="B164">
        <v>2015</v>
      </c>
      <c r="C164">
        <v>524</v>
      </c>
      <c r="D164">
        <v>2029</v>
      </c>
      <c r="E164">
        <v>111</v>
      </c>
      <c r="F164">
        <v>13282</v>
      </c>
    </row>
    <row r="165" spans="1:6" x14ac:dyDescent="0.3">
      <c r="A165" t="s">
        <v>17</v>
      </c>
      <c r="B165">
        <v>2016</v>
      </c>
      <c r="C165">
        <v>470</v>
      </c>
      <c r="D165">
        <v>2265</v>
      </c>
      <c r="E165">
        <v>111</v>
      </c>
      <c r="F165">
        <v>15182</v>
      </c>
    </row>
    <row r="166" spans="1:6" x14ac:dyDescent="0.3">
      <c r="A166" t="s">
        <v>17</v>
      </c>
      <c r="B166">
        <v>2017</v>
      </c>
      <c r="C166">
        <v>842</v>
      </c>
      <c r="D166">
        <v>2473</v>
      </c>
      <c r="E166">
        <v>111</v>
      </c>
      <c r="F166">
        <v>17707</v>
      </c>
    </row>
    <row r="167" spans="1:6" x14ac:dyDescent="0.3">
      <c r="A167" t="s">
        <v>17</v>
      </c>
      <c r="B167">
        <v>2018</v>
      </c>
      <c r="C167">
        <v>420</v>
      </c>
      <c r="D167">
        <v>2655</v>
      </c>
      <c r="E167">
        <v>111</v>
      </c>
      <c r="F167">
        <v>25090</v>
      </c>
    </row>
    <row r="168" spans="1:6" x14ac:dyDescent="0.3">
      <c r="A168" t="s">
        <v>17</v>
      </c>
      <c r="B168">
        <v>2019</v>
      </c>
      <c r="C168">
        <v>431</v>
      </c>
      <c r="D168">
        <v>3048</v>
      </c>
      <c r="E168">
        <v>111</v>
      </c>
      <c r="F168">
        <v>26841</v>
      </c>
    </row>
    <row r="169" spans="1:6" x14ac:dyDescent="0.3">
      <c r="A169" t="s">
        <v>17</v>
      </c>
      <c r="B169">
        <v>2020</v>
      </c>
      <c r="C169">
        <v>435</v>
      </c>
      <c r="D169">
        <v>3080</v>
      </c>
      <c r="E169">
        <v>111</v>
      </c>
      <c r="F169">
        <v>27652</v>
      </c>
    </row>
    <row r="170" spans="1:6" x14ac:dyDescent="0.3">
      <c r="A170" t="s">
        <v>17</v>
      </c>
      <c r="B170">
        <v>2021</v>
      </c>
      <c r="C170">
        <v>457</v>
      </c>
      <c r="D170">
        <v>3654</v>
      </c>
      <c r="E170">
        <v>111</v>
      </c>
      <c r="F170">
        <v>37056</v>
      </c>
    </row>
    <row r="171" spans="1:6" x14ac:dyDescent="0.3">
      <c r="A171" t="s">
        <v>17</v>
      </c>
      <c r="B171">
        <v>2022</v>
      </c>
      <c r="C171">
        <v>484</v>
      </c>
      <c r="D171">
        <v>4126</v>
      </c>
      <c r="E171">
        <v>111</v>
      </c>
      <c r="F171">
        <v>42731</v>
      </c>
    </row>
    <row r="172" spans="1:6" x14ac:dyDescent="0.3">
      <c r="A172" t="s">
        <v>17</v>
      </c>
      <c r="B172">
        <v>2023</v>
      </c>
      <c r="C172">
        <v>522</v>
      </c>
      <c r="D172">
        <v>4946</v>
      </c>
      <c r="E172">
        <v>111</v>
      </c>
      <c r="F172">
        <v>44071</v>
      </c>
    </row>
    <row r="173" spans="1:6" x14ac:dyDescent="0.3">
      <c r="A173" t="s">
        <v>17</v>
      </c>
      <c r="B173">
        <v>2024</v>
      </c>
      <c r="C173">
        <v>1702</v>
      </c>
      <c r="D173">
        <v>7365</v>
      </c>
      <c r="E173">
        <v>111</v>
      </c>
      <c r="F173">
        <v>54136</v>
      </c>
    </row>
    <row r="174" spans="1:6" x14ac:dyDescent="0.3">
      <c r="A174" t="s">
        <v>18</v>
      </c>
      <c r="C174">
        <v>62279</v>
      </c>
      <c r="D174">
        <v>15389</v>
      </c>
    </row>
    <row r="175" spans="1:6" x14ac:dyDescent="0.3">
      <c r="A175" t="s">
        <v>18</v>
      </c>
      <c r="B175">
        <v>2015</v>
      </c>
      <c r="C175">
        <v>5392</v>
      </c>
      <c r="D175">
        <v>898</v>
      </c>
      <c r="E175">
        <v>50</v>
      </c>
      <c r="F175">
        <v>4750</v>
      </c>
    </row>
    <row r="176" spans="1:6" x14ac:dyDescent="0.3">
      <c r="A176" t="s">
        <v>18</v>
      </c>
      <c r="B176">
        <v>2016</v>
      </c>
      <c r="C176">
        <v>7299</v>
      </c>
      <c r="D176">
        <v>1279</v>
      </c>
      <c r="E176">
        <v>54</v>
      </c>
      <c r="F176">
        <v>7373</v>
      </c>
    </row>
    <row r="177" spans="1:6" x14ac:dyDescent="0.3">
      <c r="A177" t="s">
        <v>18</v>
      </c>
      <c r="B177">
        <v>2017</v>
      </c>
      <c r="C177">
        <v>9970</v>
      </c>
      <c r="D177">
        <v>1836</v>
      </c>
      <c r="E177">
        <v>109</v>
      </c>
      <c r="F177">
        <v>9491</v>
      </c>
    </row>
    <row r="178" spans="1:6" x14ac:dyDescent="0.3">
      <c r="A178" t="s">
        <v>18</v>
      </c>
      <c r="B178">
        <v>2018</v>
      </c>
      <c r="C178">
        <v>12746</v>
      </c>
      <c r="D178">
        <v>2496</v>
      </c>
      <c r="E178">
        <v>115</v>
      </c>
      <c r="F178">
        <v>15733</v>
      </c>
    </row>
    <row r="179" spans="1:6" x14ac:dyDescent="0.3">
      <c r="A179" t="s">
        <v>18</v>
      </c>
      <c r="B179">
        <v>2019</v>
      </c>
      <c r="C179">
        <v>18487</v>
      </c>
      <c r="D179">
        <v>3995</v>
      </c>
      <c r="E179">
        <v>115</v>
      </c>
      <c r="F179">
        <v>19582</v>
      </c>
    </row>
    <row r="180" spans="1:6" x14ac:dyDescent="0.3">
      <c r="A180" t="s">
        <v>18</v>
      </c>
      <c r="B180">
        <v>2020</v>
      </c>
      <c r="C180">
        <v>26374</v>
      </c>
      <c r="D180">
        <v>5264</v>
      </c>
      <c r="E180">
        <v>120</v>
      </c>
      <c r="F180">
        <v>32208</v>
      </c>
    </row>
    <row r="181" spans="1:6" x14ac:dyDescent="0.3">
      <c r="A181" t="s">
        <v>18</v>
      </c>
      <c r="B181">
        <v>2021</v>
      </c>
      <c r="C181">
        <v>26673</v>
      </c>
      <c r="D181">
        <v>4420</v>
      </c>
      <c r="E181">
        <v>120</v>
      </c>
      <c r="F181">
        <v>36798</v>
      </c>
    </row>
    <row r="182" spans="1:6" x14ac:dyDescent="0.3">
      <c r="A182" t="s">
        <v>18</v>
      </c>
      <c r="B182">
        <v>2022</v>
      </c>
      <c r="C182">
        <v>31641</v>
      </c>
      <c r="D182">
        <v>7028</v>
      </c>
      <c r="E182">
        <v>121</v>
      </c>
      <c r="F182">
        <v>43592</v>
      </c>
    </row>
    <row r="183" spans="1:6" x14ac:dyDescent="0.3">
      <c r="A183" t="s">
        <v>18</v>
      </c>
      <c r="B183">
        <v>2023</v>
      </c>
      <c r="C183">
        <v>41411</v>
      </c>
      <c r="D183">
        <v>11508</v>
      </c>
      <c r="E183">
        <v>121</v>
      </c>
      <c r="F183">
        <v>54251</v>
      </c>
    </row>
    <row r="184" spans="1:6" x14ac:dyDescent="0.3">
      <c r="A184" t="s">
        <v>18</v>
      </c>
      <c r="B184">
        <v>2024</v>
      </c>
      <c r="C184">
        <v>54972</v>
      </c>
      <c r="D184">
        <v>14451</v>
      </c>
      <c r="E184">
        <v>124</v>
      </c>
      <c r="F184">
        <v>76572</v>
      </c>
    </row>
    <row r="185" spans="1:6" x14ac:dyDescent="0.3">
      <c r="A185" t="s">
        <v>19</v>
      </c>
      <c r="C185">
        <v>124144</v>
      </c>
      <c r="D185">
        <v>20144</v>
      </c>
    </row>
    <row r="186" spans="1:6" x14ac:dyDescent="0.3">
      <c r="A186" t="s">
        <v>19</v>
      </c>
      <c r="B186">
        <v>2013</v>
      </c>
      <c r="C186">
        <v>36442</v>
      </c>
      <c r="D186">
        <v>4829</v>
      </c>
      <c r="E186">
        <v>423</v>
      </c>
      <c r="F186">
        <v>32859</v>
      </c>
    </row>
    <row r="187" spans="1:6" x14ac:dyDescent="0.3">
      <c r="A187" t="s">
        <v>19</v>
      </c>
      <c r="B187">
        <v>2014</v>
      </c>
      <c r="C187">
        <v>40463</v>
      </c>
      <c r="D187">
        <v>5036</v>
      </c>
      <c r="E187">
        <v>431</v>
      </c>
      <c r="F187">
        <v>37416</v>
      </c>
    </row>
    <row r="188" spans="1:6" x14ac:dyDescent="0.3">
      <c r="A188" t="s">
        <v>19</v>
      </c>
      <c r="B188">
        <v>2015</v>
      </c>
      <c r="C188">
        <v>44915</v>
      </c>
      <c r="D188">
        <v>3950</v>
      </c>
      <c r="E188">
        <v>444</v>
      </c>
      <c r="F188">
        <v>41574</v>
      </c>
    </row>
    <row r="189" spans="1:6" x14ac:dyDescent="0.3">
      <c r="A189" t="s">
        <v>19</v>
      </c>
      <c r="B189">
        <v>2016</v>
      </c>
      <c r="C189">
        <v>45799</v>
      </c>
      <c r="D189">
        <v>-5033</v>
      </c>
      <c r="E189">
        <v>462</v>
      </c>
      <c r="F189">
        <v>42041</v>
      </c>
    </row>
    <row r="190" spans="1:6" x14ac:dyDescent="0.3">
      <c r="A190" t="s">
        <v>19</v>
      </c>
      <c r="B190">
        <v>2017</v>
      </c>
      <c r="C190">
        <v>44473</v>
      </c>
      <c r="D190">
        <v>1855</v>
      </c>
      <c r="E190">
        <v>462</v>
      </c>
      <c r="F190">
        <v>42605</v>
      </c>
    </row>
    <row r="191" spans="1:6" x14ac:dyDescent="0.3">
      <c r="A191" t="s">
        <v>19</v>
      </c>
      <c r="B191">
        <v>2018</v>
      </c>
      <c r="C191">
        <v>46056</v>
      </c>
      <c r="D191">
        <v>-1836</v>
      </c>
      <c r="E191">
        <v>530</v>
      </c>
      <c r="F191">
        <v>46036</v>
      </c>
    </row>
    <row r="192" spans="1:6" x14ac:dyDescent="0.3">
      <c r="A192" t="s">
        <v>19</v>
      </c>
      <c r="B192">
        <v>2019</v>
      </c>
      <c r="C192">
        <v>52906</v>
      </c>
      <c r="D192">
        <v>1166</v>
      </c>
      <c r="E192">
        <v>530</v>
      </c>
      <c r="F192">
        <v>54466</v>
      </c>
    </row>
    <row r="193" spans="1:6" x14ac:dyDescent="0.3">
      <c r="A193" t="s">
        <v>19</v>
      </c>
      <c r="B193">
        <v>2020</v>
      </c>
      <c r="C193">
        <v>78895</v>
      </c>
      <c r="D193">
        <v>981</v>
      </c>
      <c r="E193">
        <v>925</v>
      </c>
      <c r="F193">
        <v>75179</v>
      </c>
    </row>
    <row r="194" spans="1:6" x14ac:dyDescent="0.3">
      <c r="A194" t="s">
        <v>19</v>
      </c>
      <c r="B194">
        <v>2021</v>
      </c>
      <c r="C194">
        <v>74314</v>
      </c>
      <c r="D194">
        <v>1620</v>
      </c>
      <c r="E194">
        <v>1036</v>
      </c>
      <c r="F194">
        <v>81354</v>
      </c>
    </row>
    <row r="195" spans="1:6" x14ac:dyDescent="0.3">
      <c r="A195" t="s">
        <v>19</v>
      </c>
      <c r="B195">
        <v>2022</v>
      </c>
      <c r="C195">
        <v>73385</v>
      </c>
      <c r="D195">
        <v>7933</v>
      </c>
      <c r="E195">
        <v>1036</v>
      </c>
      <c r="F195">
        <v>90833</v>
      </c>
    </row>
    <row r="196" spans="1:6" x14ac:dyDescent="0.3">
      <c r="A196" t="s">
        <v>19</v>
      </c>
      <c r="B196">
        <v>2023</v>
      </c>
      <c r="C196">
        <v>94503</v>
      </c>
      <c r="D196">
        <v>15005</v>
      </c>
      <c r="E196">
        <v>1036</v>
      </c>
      <c r="F196">
        <v>104019</v>
      </c>
    </row>
    <row r="197" spans="1:6" x14ac:dyDescent="0.3">
      <c r="A197" t="s">
        <v>19</v>
      </c>
      <c r="B197">
        <v>2024</v>
      </c>
      <c r="C197">
        <v>118379</v>
      </c>
      <c r="D197">
        <v>18869</v>
      </c>
      <c r="E197">
        <v>1036</v>
      </c>
      <c r="F197">
        <v>118677</v>
      </c>
    </row>
    <row r="198" spans="1:6" x14ac:dyDescent="0.3">
      <c r="A198" t="s">
        <v>20</v>
      </c>
      <c r="C198">
        <v>21575</v>
      </c>
      <c r="D198">
        <v>4541</v>
      </c>
    </row>
    <row r="199" spans="1:6" x14ac:dyDescent="0.3">
      <c r="A199" t="s">
        <v>20</v>
      </c>
      <c r="B199">
        <v>2013</v>
      </c>
      <c r="C199">
        <v>6273</v>
      </c>
      <c r="D199">
        <v>911</v>
      </c>
      <c r="E199">
        <v>2</v>
      </c>
      <c r="F199">
        <v>4</v>
      </c>
    </row>
    <row r="200" spans="1:6" x14ac:dyDescent="0.3">
      <c r="A200" t="s">
        <v>20</v>
      </c>
      <c r="B200">
        <v>2014</v>
      </c>
      <c r="C200">
        <v>6518</v>
      </c>
      <c r="D200">
        <v>952</v>
      </c>
      <c r="E200">
        <v>2</v>
      </c>
      <c r="F200">
        <v>5</v>
      </c>
    </row>
    <row r="201" spans="1:6" x14ac:dyDescent="0.3">
      <c r="A201" t="s">
        <v>20</v>
      </c>
      <c r="B201">
        <v>2015</v>
      </c>
      <c r="C201">
        <v>7093</v>
      </c>
      <c r="D201">
        <v>1197</v>
      </c>
      <c r="E201">
        <v>2</v>
      </c>
      <c r="F201">
        <v>5</v>
      </c>
    </row>
    <row r="202" spans="1:6" x14ac:dyDescent="0.3">
      <c r="A202" t="s">
        <v>20</v>
      </c>
      <c r="B202">
        <v>2016</v>
      </c>
      <c r="C202">
        <v>7354</v>
      </c>
      <c r="D202">
        <v>1337</v>
      </c>
      <c r="E202">
        <v>9</v>
      </c>
      <c r="F202">
        <v>3</v>
      </c>
    </row>
    <row r="203" spans="1:6" x14ac:dyDescent="0.3">
      <c r="A203" t="s">
        <v>20</v>
      </c>
      <c r="B203">
        <v>2017</v>
      </c>
      <c r="C203">
        <v>8656</v>
      </c>
      <c r="D203">
        <v>1523</v>
      </c>
      <c r="E203">
        <v>9</v>
      </c>
      <c r="F203">
        <v>6</v>
      </c>
    </row>
    <row r="204" spans="1:6" x14ac:dyDescent="0.3">
      <c r="A204" t="s">
        <v>20</v>
      </c>
      <c r="B204">
        <v>2018</v>
      </c>
      <c r="C204">
        <v>10401</v>
      </c>
      <c r="D204">
        <v>1431</v>
      </c>
      <c r="E204">
        <v>10</v>
      </c>
      <c r="F204">
        <v>21</v>
      </c>
    </row>
    <row r="205" spans="1:6" x14ac:dyDescent="0.3">
      <c r="A205" t="s">
        <v>20</v>
      </c>
      <c r="B205">
        <v>2019</v>
      </c>
      <c r="C205">
        <v>12164</v>
      </c>
      <c r="D205">
        <v>1887</v>
      </c>
      <c r="E205">
        <v>11</v>
      </c>
      <c r="F205">
        <v>38</v>
      </c>
    </row>
    <row r="206" spans="1:6" x14ac:dyDescent="0.3">
      <c r="A206" t="s">
        <v>20</v>
      </c>
      <c r="B206">
        <v>2020</v>
      </c>
      <c r="C206">
        <v>12968</v>
      </c>
      <c r="D206">
        <v>1825</v>
      </c>
      <c r="E206">
        <v>11</v>
      </c>
      <c r="F206">
        <v>44</v>
      </c>
    </row>
    <row r="207" spans="1:6" x14ac:dyDescent="0.3">
      <c r="A207" t="s">
        <v>20</v>
      </c>
      <c r="B207">
        <v>2021</v>
      </c>
      <c r="C207">
        <v>14109</v>
      </c>
      <c r="D207">
        <v>2100</v>
      </c>
      <c r="E207">
        <v>11</v>
      </c>
      <c r="F207">
        <v>48</v>
      </c>
    </row>
    <row r="208" spans="1:6" x14ac:dyDescent="0.3">
      <c r="A208" t="s">
        <v>20</v>
      </c>
      <c r="B208">
        <v>2022</v>
      </c>
      <c r="C208">
        <v>15368</v>
      </c>
      <c r="D208">
        <v>2400</v>
      </c>
      <c r="E208">
        <v>11</v>
      </c>
      <c r="F208">
        <v>58</v>
      </c>
    </row>
    <row r="209" spans="1:6" x14ac:dyDescent="0.3">
      <c r="A209" t="s">
        <v>20</v>
      </c>
      <c r="B209">
        <v>2023</v>
      </c>
      <c r="C209">
        <v>17734</v>
      </c>
      <c r="D209">
        <v>2986</v>
      </c>
      <c r="E209">
        <v>11</v>
      </c>
      <c r="F209">
        <v>64</v>
      </c>
    </row>
    <row r="210" spans="1:6" x14ac:dyDescent="0.3">
      <c r="A210" t="s">
        <v>20</v>
      </c>
      <c r="B210">
        <v>2024</v>
      </c>
      <c r="C210">
        <v>20268</v>
      </c>
      <c r="D210">
        <v>3985</v>
      </c>
      <c r="E210">
        <v>11</v>
      </c>
      <c r="F210">
        <v>73</v>
      </c>
    </row>
    <row r="211" spans="1:6" x14ac:dyDescent="0.3">
      <c r="A211" t="s">
        <v>21</v>
      </c>
      <c r="C211">
        <v>155478</v>
      </c>
      <c r="D211">
        <v>13816</v>
      </c>
    </row>
    <row r="212" spans="1:6" x14ac:dyDescent="0.3">
      <c r="A212" t="s">
        <v>21</v>
      </c>
      <c r="B212">
        <v>2013</v>
      </c>
      <c r="C212">
        <v>76947</v>
      </c>
      <c r="D212">
        <v>2267</v>
      </c>
      <c r="E212">
        <v>1899</v>
      </c>
      <c r="F212">
        <v>48423</v>
      </c>
    </row>
    <row r="213" spans="1:6" x14ac:dyDescent="0.3">
      <c r="A213" t="s">
        <v>21</v>
      </c>
      <c r="B213">
        <v>2014</v>
      </c>
      <c r="C213">
        <v>85864</v>
      </c>
      <c r="D213">
        <v>3019</v>
      </c>
      <c r="E213">
        <v>1999</v>
      </c>
      <c r="F213">
        <v>57757</v>
      </c>
    </row>
    <row r="214" spans="1:6" x14ac:dyDescent="0.3">
      <c r="A214" t="s">
        <v>21</v>
      </c>
      <c r="B214">
        <v>2015</v>
      </c>
      <c r="C214">
        <v>96101</v>
      </c>
      <c r="D214">
        <v>5048</v>
      </c>
      <c r="E214">
        <v>1999</v>
      </c>
      <c r="F214">
        <v>37778</v>
      </c>
    </row>
    <row r="215" spans="1:6" x14ac:dyDescent="0.3">
      <c r="A215" t="s">
        <v>21</v>
      </c>
      <c r="B215">
        <v>2016</v>
      </c>
      <c r="C215">
        <v>96532</v>
      </c>
      <c r="D215">
        <v>6893</v>
      </c>
      <c r="E215">
        <v>1999</v>
      </c>
      <c r="F215">
        <v>64771</v>
      </c>
    </row>
    <row r="216" spans="1:6" x14ac:dyDescent="0.3">
      <c r="A216" t="s">
        <v>21</v>
      </c>
      <c r="B216">
        <v>2017</v>
      </c>
      <c r="C216">
        <v>95468</v>
      </c>
      <c r="D216">
        <v>4241</v>
      </c>
      <c r="E216">
        <v>1999</v>
      </c>
      <c r="F216">
        <v>65458</v>
      </c>
    </row>
    <row r="217" spans="1:6" x14ac:dyDescent="0.3">
      <c r="A217" t="s">
        <v>21</v>
      </c>
      <c r="B217">
        <v>2018</v>
      </c>
      <c r="C217">
        <v>82639</v>
      </c>
      <c r="D217">
        <v>2184</v>
      </c>
      <c r="E217">
        <v>1999</v>
      </c>
      <c r="F217">
        <v>67536</v>
      </c>
    </row>
    <row r="218" spans="1:6" x14ac:dyDescent="0.3">
      <c r="A218" t="s">
        <v>21</v>
      </c>
      <c r="B218">
        <v>2019</v>
      </c>
      <c r="C218">
        <v>80780</v>
      </c>
      <c r="D218">
        <v>1688</v>
      </c>
      <c r="E218">
        <v>1999</v>
      </c>
      <c r="F218">
        <v>69424</v>
      </c>
    </row>
    <row r="219" spans="1:6" x14ac:dyDescent="0.3">
      <c r="A219" t="s">
        <v>21</v>
      </c>
      <c r="B219">
        <v>2020</v>
      </c>
      <c r="C219">
        <v>87539</v>
      </c>
      <c r="D219">
        <v>-30664</v>
      </c>
      <c r="E219">
        <v>2728</v>
      </c>
      <c r="F219">
        <v>74417</v>
      </c>
    </row>
    <row r="220" spans="1:6" x14ac:dyDescent="0.3">
      <c r="A220" t="s">
        <v>21</v>
      </c>
      <c r="B220">
        <v>2021</v>
      </c>
      <c r="C220">
        <v>100616</v>
      </c>
      <c r="D220">
        <v>-12364</v>
      </c>
      <c r="E220">
        <v>2746</v>
      </c>
      <c r="F220">
        <v>56207</v>
      </c>
    </row>
    <row r="221" spans="1:6" x14ac:dyDescent="0.3">
      <c r="A221" t="s">
        <v>21</v>
      </c>
      <c r="B221">
        <v>2022</v>
      </c>
      <c r="C221">
        <v>116547</v>
      </c>
      <c r="D221">
        <v>8305</v>
      </c>
      <c r="E221">
        <v>2795</v>
      </c>
      <c r="F221">
        <v>63759</v>
      </c>
    </row>
    <row r="222" spans="1:6" x14ac:dyDescent="0.3">
      <c r="A222" t="s">
        <v>21</v>
      </c>
      <c r="B222">
        <v>2023</v>
      </c>
      <c r="C222">
        <v>139145</v>
      </c>
      <c r="D222">
        <v>12287</v>
      </c>
      <c r="E222">
        <v>2837</v>
      </c>
      <c r="F222">
        <v>74726</v>
      </c>
    </row>
    <row r="223" spans="1:6" x14ac:dyDescent="0.3">
      <c r="A223" t="s">
        <v>21</v>
      </c>
      <c r="B223">
        <v>2024</v>
      </c>
      <c r="C223">
        <v>149982</v>
      </c>
      <c r="D223">
        <v>8558</v>
      </c>
      <c r="E223">
        <v>2877</v>
      </c>
      <c r="F223">
        <v>79742</v>
      </c>
    </row>
    <row r="224" spans="1:6" x14ac:dyDescent="0.3">
      <c r="A224" t="s">
        <v>22</v>
      </c>
      <c r="C224">
        <v>25833</v>
      </c>
      <c r="D224">
        <v>445</v>
      </c>
    </row>
    <row r="225" spans="1:6" x14ac:dyDescent="0.3">
      <c r="A225" t="s">
        <v>22</v>
      </c>
      <c r="B225">
        <v>2013</v>
      </c>
      <c r="C225">
        <v>48903</v>
      </c>
      <c r="D225">
        <v>6693</v>
      </c>
      <c r="E225">
        <v>490</v>
      </c>
      <c r="F225">
        <v>30059</v>
      </c>
    </row>
    <row r="226" spans="1:6" x14ac:dyDescent="0.3">
      <c r="A226" t="s">
        <v>22</v>
      </c>
      <c r="B226">
        <v>2014</v>
      </c>
      <c r="C226">
        <v>39561</v>
      </c>
      <c r="D226">
        <v>3502</v>
      </c>
      <c r="E226">
        <v>490</v>
      </c>
      <c r="F226">
        <v>32681</v>
      </c>
    </row>
    <row r="227" spans="1:6" x14ac:dyDescent="0.3">
      <c r="A227" t="s">
        <v>22</v>
      </c>
      <c r="B227">
        <v>2015</v>
      </c>
      <c r="C227">
        <v>31323</v>
      </c>
      <c r="D227">
        <v>1450</v>
      </c>
      <c r="E227">
        <v>490</v>
      </c>
      <c r="F227">
        <v>33717</v>
      </c>
    </row>
    <row r="228" spans="1:6" x14ac:dyDescent="0.3">
      <c r="A228" t="s">
        <v>22</v>
      </c>
      <c r="B228">
        <v>2016</v>
      </c>
      <c r="C228">
        <v>25505</v>
      </c>
      <c r="D228">
        <v>-706</v>
      </c>
      <c r="E228">
        <v>490</v>
      </c>
      <c r="F228">
        <v>31825</v>
      </c>
    </row>
    <row r="229" spans="1:6" x14ac:dyDescent="0.3">
      <c r="A229" t="s">
        <v>22</v>
      </c>
      <c r="B229">
        <v>2017</v>
      </c>
      <c r="C229">
        <v>28465</v>
      </c>
      <c r="D229">
        <v>455</v>
      </c>
      <c r="E229">
        <v>490</v>
      </c>
      <c r="F229">
        <v>31899</v>
      </c>
    </row>
    <row r="230" spans="1:6" x14ac:dyDescent="0.3">
      <c r="A230" t="s">
        <v>22</v>
      </c>
      <c r="B230">
        <v>2018</v>
      </c>
      <c r="C230">
        <v>28827</v>
      </c>
      <c r="D230">
        <v>438</v>
      </c>
      <c r="E230">
        <v>734</v>
      </c>
      <c r="F230">
        <v>31601</v>
      </c>
    </row>
    <row r="231" spans="1:6" x14ac:dyDescent="0.3">
      <c r="A231" t="s">
        <v>22</v>
      </c>
      <c r="B231">
        <v>2019</v>
      </c>
      <c r="C231">
        <v>30441</v>
      </c>
      <c r="D231">
        <v>1002</v>
      </c>
      <c r="E231">
        <v>696</v>
      </c>
      <c r="F231">
        <v>30208</v>
      </c>
    </row>
    <row r="232" spans="1:6" x14ac:dyDescent="0.3">
      <c r="A232" t="s">
        <v>22</v>
      </c>
      <c r="B232">
        <v>2020</v>
      </c>
      <c r="C232">
        <v>21463</v>
      </c>
      <c r="D232">
        <v>-1468</v>
      </c>
      <c r="E232">
        <v>696</v>
      </c>
      <c r="F232">
        <v>27964</v>
      </c>
    </row>
    <row r="233" spans="1:6" x14ac:dyDescent="0.3">
      <c r="A233" t="s">
        <v>22</v>
      </c>
      <c r="B233">
        <v>2021</v>
      </c>
      <c r="C233">
        <v>17309</v>
      </c>
      <c r="D233">
        <v>-2700</v>
      </c>
      <c r="E233">
        <v>696</v>
      </c>
      <c r="F233">
        <v>25287</v>
      </c>
    </row>
    <row r="234" spans="1:6" x14ac:dyDescent="0.3">
      <c r="A234" t="s">
        <v>22</v>
      </c>
      <c r="B234">
        <v>2022</v>
      </c>
      <c r="C234">
        <v>21211</v>
      </c>
      <c r="D234">
        <v>445</v>
      </c>
      <c r="E234">
        <v>696</v>
      </c>
      <c r="F234">
        <v>25810</v>
      </c>
    </row>
    <row r="235" spans="1:6" x14ac:dyDescent="0.3">
      <c r="A235" t="s">
        <v>22</v>
      </c>
      <c r="B235">
        <v>2023</v>
      </c>
      <c r="C235">
        <v>23365</v>
      </c>
      <c r="D235">
        <v>654</v>
      </c>
      <c r="E235">
        <v>696</v>
      </c>
      <c r="F235">
        <v>23682</v>
      </c>
    </row>
    <row r="236" spans="1:6" x14ac:dyDescent="0.3">
      <c r="A236" t="s">
        <v>22</v>
      </c>
      <c r="B236">
        <v>2024</v>
      </c>
      <c r="C236">
        <v>23893</v>
      </c>
      <c r="D236">
        <v>282</v>
      </c>
      <c r="E236">
        <v>696</v>
      </c>
      <c r="F236">
        <v>23503</v>
      </c>
    </row>
    <row r="237" spans="1:6" x14ac:dyDescent="0.3">
      <c r="A237" t="s">
        <v>23</v>
      </c>
      <c r="C237">
        <v>17150</v>
      </c>
      <c r="D237">
        <v>2084</v>
      </c>
    </row>
    <row r="238" spans="1:6" x14ac:dyDescent="0.3">
      <c r="A238" t="s">
        <v>23</v>
      </c>
      <c r="B238">
        <v>2012</v>
      </c>
      <c r="C238">
        <v>8659</v>
      </c>
      <c r="D238">
        <v>958</v>
      </c>
      <c r="E238">
        <v>31</v>
      </c>
      <c r="F238">
        <v>5542</v>
      </c>
    </row>
    <row r="239" spans="1:6" x14ac:dyDescent="0.3">
      <c r="A239" t="s">
        <v>23</v>
      </c>
      <c r="B239">
        <v>2013</v>
      </c>
      <c r="C239">
        <v>8757</v>
      </c>
      <c r="D239">
        <v>885</v>
      </c>
      <c r="E239">
        <v>31</v>
      </c>
      <c r="F239">
        <v>6263</v>
      </c>
    </row>
    <row r="240" spans="1:6" x14ac:dyDescent="0.3">
      <c r="A240" t="s">
        <v>23</v>
      </c>
      <c r="B240">
        <v>2015</v>
      </c>
      <c r="C240">
        <v>12086</v>
      </c>
      <c r="D240">
        <v>1338</v>
      </c>
      <c r="E240">
        <v>31</v>
      </c>
      <c r="F240">
        <v>7316</v>
      </c>
    </row>
    <row r="241" spans="1:6" x14ac:dyDescent="0.3">
      <c r="A241" t="s">
        <v>23</v>
      </c>
      <c r="B241">
        <v>2016</v>
      </c>
      <c r="C241">
        <v>9701</v>
      </c>
      <c r="D241">
        <v>1531</v>
      </c>
      <c r="E241">
        <v>31</v>
      </c>
      <c r="F241">
        <v>9504</v>
      </c>
    </row>
    <row r="242" spans="1:6" x14ac:dyDescent="0.3">
      <c r="A242" t="s">
        <v>23</v>
      </c>
      <c r="B242">
        <v>2017</v>
      </c>
      <c r="C242">
        <v>10435</v>
      </c>
      <c r="D242">
        <v>1741</v>
      </c>
      <c r="E242">
        <v>30</v>
      </c>
      <c r="F242">
        <v>8769</v>
      </c>
    </row>
    <row r="243" spans="1:6" x14ac:dyDescent="0.3">
      <c r="A243" t="s">
        <v>23</v>
      </c>
      <c r="B243">
        <v>2018</v>
      </c>
      <c r="C243">
        <v>11690</v>
      </c>
      <c r="D243">
        <v>1371</v>
      </c>
      <c r="E243">
        <v>30</v>
      </c>
      <c r="F243">
        <v>9951</v>
      </c>
    </row>
    <row r="244" spans="1:6" x14ac:dyDescent="0.3">
      <c r="A244" t="s">
        <v>23</v>
      </c>
      <c r="B244">
        <v>2019</v>
      </c>
      <c r="C244">
        <v>12085</v>
      </c>
      <c r="D244">
        <v>1598</v>
      </c>
      <c r="E244">
        <v>30</v>
      </c>
      <c r="F244">
        <v>9097</v>
      </c>
    </row>
    <row r="245" spans="1:6" x14ac:dyDescent="0.3">
      <c r="A245" t="s">
        <v>23</v>
      </c>
      <c r="B245">
        <v>2020</v>
      </c>
      <c r="C245">
        <v>9842</v>
      </c>
      <c r="D245">
        <v>650</v>
      </c>
      <c r="E245">
        <v>30</v>
      </c>
      <c r="F245">
        <v>9240</v>
      </c>
    </row>
    <row r="246" spans="1:6" x14ac:dyDescent="0.3">
      <c r="A246" t="s">
        <v>23</v>
      </c>
      <c r="B246">
        <v>2021</v>
      </c>
      <c r="C246">
        <v>9718</v>
      </c>
      <c r="D246">
        <v>482</v>
      </c>
      <c r="E246">
        <v>30</v>
      </c>
      <c r="F246">
        <v>9793</v>
      </c>
    </row>
    <row r="247" spans="1:6" x14ac:dyDescent="0.3">
      <c r="A247" t="s">
        <v>23</v>
      </c>
      <c r="B247">
        <v>2022</v>
      </c>
      <c r="C247">
        <v>11782</v>
      </c>
      <c r="D247">
        <v>1217</v>
      </c>
      <c r="E247">
        <v>30</v>
      </c>
      <c r="F247">
        <v>10658</v>
      </c>
    </row>
    <row r="248" spans="1:6" x14ac:dyDescent="0.3">
      <c r="A248" t="s">
        <v>23</v>
      </c>
      <c r="B248">
        <v>2023</v>
      </c>
      <c r="C248">
        <v>14929</v>
      </c>
      <c r="D248">
        <v>1424</v>
      </c>
      <c r="E248">
        <v>30</v>
      </c>
      <c r="F248">
        <v>10983</v>
      </c>
    </row>
    <row r="249" spans="1:6" x14ac:dyDescent="0.3">
      <c r="A249" t="s">
        <v>23</v>
      </c>
      <c r="B249">
        <v>2024</v>
      </c>
      <c r="C249">
        <v>16727</v>
      </c>
      <c r="D249">
        <v>2490</v>
      </c>
      <c r="E249">
        <v>30</v>
      </c>
      <c r="F249">
        <v>12034</v>
      </c>
    </row>
    <row r="250" spans="1:6" x14ac:dyDescent="0.3">
      <c r="A250" t="s">
        <v>24</v>
      </c>
      <c r="C250">
        <v>445601</v>
      </c>
      <c r="D250">
        <v>13734</v>
      </c>
    </row>
    <row r="251" spans="1:6" x14ac:dyDescent="0.3">
      <c r="A251" t="s">
        <v>24</v>
      </c>
      <c r="B251">
        <v>2013</v>
      </c>
      <c r="C251">
        <v>242181</v>
      </c>
      <c r="D251">
        <v>1936</v>
      </c>
      <c r="E251">
        <v>723</v>
      </c>
      <c r="F251">
        <v>16052</v>
      </c>
    </row>
    <row r="252" spans="1:6" x14ac:dyDescent="0.3">
      <c r="A252" t="s">
        <v>24</v>
      </c>
      <c r="B252">
        <v>2014</v>
      </c>
      <c r="C252">
        <v>264421</v>
      </c>
      <c r="D252">
        <v>4053</v>
      </c>
      <c r="E252">
        <v>723</v>
      </c>
      <c r="F252">
        <v>18717</v>
      </c>
    </row>
    <row r="253" spans="1:6" x14ac:dyDescent="0.3">
      <c r="A253" t="s">
        <v>24</v>
      </c>
      <c r="B253">
        <v>2015</v>
      </c>
      <c r="C253">
        <v>242598</v>
      </c>
      <c r="D253">
        <v>5082</v>
      </c>
      <c r="E253">
        <v>723</v>
      </c>
      <c r="F253">
        <v>21839</v>
      </c>
    </row>
    <row r="254" spans="1:6" x14ac:dyDescent="0.3">
      <c r="A254" t="s">
        <v>24</v>
      </c>
      <c r="B254">
        <v>2016</v>
      </c>
      <c r="C254">
        <v>187815</v>
      </c>
      <c r="D254">
        <v>8089</v>
      </c>
      <c r="E254">
        <v>656</v>
      </c>
      <c r="F254">
        <v>27138</v>
      </c>
    </row>
    <row r="255" spans="1:6" x14ac:dyDescent="0.3">
      <c r="A255" t="s">
        <v>24</v>
      </c>
      <c r="B255">
        <v>2017</v>
      </c>
      <c r="C255">
        <v>201251</v>
      </c>
      <c r="D255">
        <v>9507</v>
      </c>
      <c r="E255">
        <v>1311</v>
      </c>
      <c r="F255">
        <v>29508</v>
      </c>
    </row>
    <row r="256" spans="1:6" x14ac:dyDescent="0.3">
      <c r="A256" t="s">
        <v>24</v>
      </c>
      <c r="B256">
        <v>2018</v>
      </c>
      <c r="C256">
        <v>235895</v>
      </c>
      <c r="D256">
        <v>9792</v>
      </c>
      <c r="E256">
        <v>1967</v>
      </c>
      <c r="F256">
        <v>34652</v>
      </c>
    </row>
    <row r="257" spans="1:6" x14ac:dyDescent="0.3">
      <c r="A257" t="s">
        <v>24</v>
      </c>
      <c r="B257">
        <v>2019</v>
      </c>
      <c r="C257">
        <v>298226</v>
      </c>
      <c r="D257">
        <v>8528</v>
      </c>
      <c r="E257">
        <v>1967</v>
      </c>
      <c r="F257">
        <v>36798</v>
      </c>
    </row>
    <row r="258" spans="1:6" x14ac:dyDescent="0.3">
      <c r="A258" t="s">
        <v>24</v>
      </c>
      <c r="B258">
        <v>2020</v>
      </c>
      <c r="C258">
        <v>284572</v>
      </c>
      <c r="D258">
        <v>3666</v>
      </c>
      <c r="E258">
        <v>1967</v>
      </c>
      <c r="F258">
        <v>34565</v>
      </c>
    </row>
    <row r="259" spans="1:6" x14ac:dyDescent="0.3">
      <c r="A259" t="s">
        <v>24</v>
      </c>
      <c r="B259">
        <v>2021</v>
      </c>
      <c r="C259">
        <v>230171</v>
      </c>
      <c r="D259">
        <v>17320</v>
      </c>
      <c r="E259">
        <v>2093</v>
      </c>
      <c r="F259">
        <v>51462</v>
      </c>
    </row>
    <row r="260" spans="1:6" x14ac:dyDescent="0.3">
      <c r="A260" t="s">
        <v>24</v>
      </c>
      <c r="B260">
        <v>2022</v>
      </c>
      <c r="C260">
        <v>346791</v>
      </c>
      <c r="D260">
        <v>11682</v>
      </c>
      <c r="E260">
        <v>2129</v>
      </c>
      <c r="F260">
        <v>49776</v>
      </c>
    </row>
    <row r="261" spans="1:6" x14ac:dyDescent="0.3">
      <c r="A261" t="s">
        <v>24</v>
      </c>
      <c r="B261">
        <v>2023</v>
      </c>
      <c r="C261">
        <v>473187</v>
      </c>
      <c r="D261">
        <v>2131</v>
      </c>
      <c r="E261">
        <v>2129</v>
      </c>
      <c r="F261">
        <v>51393</v>
      </c>
    </row>
    <row r="262" spans="1:6" x14ac:dyDescent="0.3">
      <c r="A262" t="s">
        <v>24</v>
      </c>
      <c r="B262">
        <v>2024</v>
      </c>
      <c r="C262">
        <v>448083</v>
      </c>
      <c r="D262">
        <v>26859</v>
      </c>
      <c r="E262">
        <v>2136</v>
      </c>
      <c r="F262">
        <v>73499</v>
      </c>
    </row>
    <row r="263" spans="1:6" x14ac:dyDescent="0.3">
      <c r="A263" t="s">
        <v>25</v>
      </c>
      <c r="C263">
        <v>17244</v>
      </c>
      <c r="D263">
        <v>2129</v>
      </c>
    </row>
    <row r="264" spans="1:6" x14ac:dyDescent="0.3">
      <c r="A264" t="s">
        <v>25</v>
      </c>
      <c r="B264">
        <v>2013</v>
      </c>
      <c r="C264">
        <v>6185</v>
      </c>
      <c r="D264">
        <v>260</v>
      </c>
      <c r="E264">
        <v>24</v>
      </c>
      <c r="F264">
        <v>534</v>
      </c>
    </row>
    <row r="265" spans="1:6" x14ac:dyDescent="0.3">
      <c r="A265" t="s">
        <v>25</v>
      </c>
      <c r="B265">
        <v>2014</v>
      </c>
      <c r="C265">
        <v>6913</v>
      </c>
      <c r="D265">
        <v>395</v>
      </c>
      <c r="E265">
        <v>24</v>
      </c>
      <c r="F265">
        <v>774</v>
      </c>
    </row>
    <row r="266" spans="1:6" x14ac:dyDescent="0.3">
      <c r="A266" t="s">
        <v>25</v>
      </c>
      <c r="B266">
        <v>2015</v>
      </c>
      <c r="C266">
        <v>7858</v>
      </c>
      <c r="D266">
        <v>689</v>
      </c>
      <c r="E266">
        <v>24</v>
      </c>
      <c r="F266">
        <v>1221</v>
      </c>
    </row>
    <row r="267" spans="1:6" x14ac:dyDescent="0.3">
      <c r="A267" t="s">
        <v>25</v>
      </c>
      <c r="B267">
        <v>2016</v>
      </c>
      <c r="C267">
        <v>8397</v>
      </c>
      <c r="D267">
        <v>825</v>
      </c>
      <c r="E267">
        <v>24</v>
      </c>
      <c r="F267">
        <v>2068</v>
      </c>
    </row>
    <row r="268" spans="1:6" x14ac:dyDescent="0.3">
      <c r="A268" t="s">
        <v>25</v>
      </c>
      <c r="B268">
        <v>2017</v>
      </c>
      <c r="C268">
        <v>9054</v>
      </c>
      <c r="D268">
        <v>885</v>
      </c>
      <c r="E268">
        <v>24</v>
      </c>
      <c r="F268">
        <v>2672</v>
      </c>
    </row>
    <row r="269" spans="1:6" x14ac:dyDescent="0.3">
      <c r="A269" t="s">
        <v>25</v>
      </c>
      <c r="B269">
        <v>2018</v>
      </c>
      <c r="C269">
        <v>9914</v>
      </c>
      <c r="D269">
        <v>1004</v>
      </c>
      <c r="E269">
        <v>24</v>
      </c>
      <c r="F269">
        <v>3382</v>
      </c>
    </row>
    <row r="270" spans="1:6" x14ac:dyDescent="0.3">
      <c r="A270" t="s">
        <v>25</v>
      </c>
      <c r="B270">
        <v>2019</v>
      </c>
      <c r="C270">
        <v>11055</v>
      </c>
      <c r="D270">
        <v>1155</v>
      </c>
      <c r="E270">
        <v>24</v>
      </c>
      <c r="F270">
        <v>4229</v>
      </c>
    </row>
    <row r="271" spans="1:6" x14ac:dyDescent="0.3">
      <c r="A271" t="s">
        <v>25</v>
      </c>
      <c r="B271">
        <v>2020</v>
      </c>
      <c r="C271">
        <v>11600</v>
      </c>
      <c r="D271">
        <v>1394</v>
      </c>
      <c r="E271">
        <v>24</v>
      </c>
      <c r="F271">
        <v>4379</v>
      </c>
    </row>
    <row r="272" spans="1:6" x14ac:dyDescent="0.3">
      <c r="A272" t="s">
        <v>25</v>
      </c>
      <c r="B272">
        <v>2021</v>
      </c>
      <c r="C272">
        <v>13136</v>
      </c>
      <c r="D272">
        <v>1851</v>
      </c>
      <c r="E272">
        <v>24</v>
      </c>
      <c r="F272">
        <v>3524</v>
      </c>
    </row>
    <row r="273" spans="1:6" x14ac:dyDescent="0.3">
      <c r="A273" t="s">
        <v>25</v>
      </c>
      <c r="B273">
        <v>2022</v>
      </c>
      <c r="C273">
        <v>14136</v>
      </c>
      <c r="D273">
        <v>1516</v>
      </c>
      <c r="E273">
        <v>24</v>
      </c>
      <c r="F273">
        <v>2534</v>
      </c>
    </row>
    <row r="274" spans="1:6" x14ac:dyDescent="0.3">
      <c r="A274" t="s">
        <v>25</v>
      </c>
      <c r="B274">
        <v>2023</v>
      </c>
      <c r="C274">
        <v>16301</v>
      </c>
      <c r="D274">
        <v>2316</v>
      </c>
      <c r="E274">
        <v>24</v>
      </c>
      <c r="F274">
        <v>3510</v>
      </c>
    </row>
    <row r="275" spans="1:6" x14ac:dyDescent="0.3">
      <c r="A275" t="s">
        <v>25</v>
      </c>
      <c r="B275">
        <v>2024</v>
      </c>
      <c r="C275">
        <v>16769</v>
      </c>
      <c r="D275">
        <v>2134</v>
      </c>
      <c r="E275">
        <v>24</v>
      </c>
      <c r="F275">
        <v>3186</v>
      </c>
    </row>
    <row r="276" spans="1:6" x14ac:dyDescent="0.3">
      <c r="A276" t="s">
        <v>26</v>
      </c>
      <c r="C276">
        <v>119392</v>
      </c>
      <c r="D276">
        <v>16571</v>
      </c>
    </row>
    <row r="277" spans="1:6" x14ac:dyDescent="0.3">
      <c r="A277" t="s">
        <v>26</v>
      </c>
      <c r="B277">
        <v>2013</v>
      </c>
      <c r="C277">
        <v>34070</v>
      </c>
      <c r="D277">
        <v>2995</v>
      </c>
      <c r="E277">
        <v>443</v>
      </c>
      <c r="F277">
        <v>24733</v>
      </c>
    </row>
    <row r="278" spans="1:6" x14ac:dyDescent="0.3">
      <c r="A278" t="s">
        <v>26</v>
      </c>
      <c r="B278">
        <v>2014</v>
      </c>
      <c r="C278">
        <v>39570</v>
      </c>
      <c r="D278">
        <v>2672</v>
      </c>
      <c r="E278">
        <v>461</v>
      </c>
      <c r="F278">
        <v>29715</v>
      </c>
    </row>
    <row r="279" spans="1:6" x14ac:dyDescent="0.3">
      <c r="A279" t="s">
        <v>26</v>
      </c>
      <c r="B279">
        <v>2015</v>
      </c>
      <c r="C279">
        <v>43813</v>
      </c>
      <c r="D279">
        <v>2931</v>
      </c>
      <c r="E279">
        <v>475</v>
      </c>
      <c r="F279">
        <v>32017</v>
      </c>
    </row>
    <row r="280" spans="1:6" x14ac:dyDescent="0.3">
      <c r="A280" t="s">
        <v>26</v>
      </c>
      <c r="B280">
        <v>2016</v>
      </c>
      <c r="C280">
        <v>44039</v>
      </c>
      <c r="D280">
        <v>-2535</v>
      </c>
      <c r="E280">
        <v>543</v>
      </c>
      <c r="F280">
        <v>31867</v>
      </c>
    </row>
    <row r="281" spans="1:6" x14ac:dyDescent="0.3">
      <c r="A281" t="s">
        <v>26</v>
      </c>
      <c r="B281">
        <v>2017</v>
      </c>
      <c r="C281">
        <v>41457</v>
      </c>
      <c r="D281">
        <v>1411</v>
      </c>
      <c r="E281">
        <v>597</v>
      </c>
      <c r="F281">
        <v>34088</v>
      </c>
    </row>
    <row r="282" spans="1:6" x14ac:dyDescent="0.3">
      <c r="A282" t="s">
        <v>26</v>
      </c>
      <c r="B282">
        <v>2018</v>
      </c>
      <c r="C282">
        <v>41345</v>
      </c>
      <c r="D282">
        <v>-3873</v>
      </c>
      <c r="E282">
        <v>733</v>
      </c>
      <c r="F282">
        <v>36164</v>
      </c>
    </row>
    <row r="283" spans="1:6" x14ac:dyDescent="0.3">
      <c r="A283" t="s">
        <v>26</v>
      </c>
      <c r="B283">
        <v>2019</v>
      </c>
      <c r="C283">
        <v>47951</v>
      </c>
      <c r="D283">
        <v>696</v>
      </c>
      <c r="E283">
        <v>753</v>
      </c>
      <c r="F283">
        <v>36936</v>
      </c>
    </row>
    <row r="284" spans="1:6" x14ac:dyDescent="0.3">
      <c r="A284" t="s">
        <v>26</v>
      </c>
      <c r="B284">
        <v>2020</v>
      </c>
      <c r="C284">
        <v>49759</v>
      </c>
      <c r="D284">
        <v>-1921</v>
      </c>
      <c r="E284">
        <v>1030</v>
      </c>
      <c r="F284">
        <v>40176</v>
      </c>
    </row>
    <row r="285" spans="1:6" x14ac:dyDescent="0.3">
      <c r="A285" t="s">
        <v>26</v>
      </c>
      <c r="B285">
        <v>2021</v>
      </c>
      <c r="C285">
        <v>70253</v>
      </c>
      <c r="D285">
        <v>2957</v>
      </c>
      <c r="E285">
        <v>1647</v>
      </c>
      <c r="F285">
        <v>60763</v>
      </c>
    </row>
    <row r="286" spans="1:6" x14ac:dyDescent="0.3">
      <c r="A286" t="s">
        <v>26</v>
      </c>
      <c r="B286">
        <v>2022</v>
      </c>
      <c r="C286">
        <v>70614</v>
      </c>
      <c r="D286">
        <v>6158</v>
      </c>
      <c r="E286">
        <v>1814</v>
      </c>
      <c r="F286">
        <v>68147</v>
      </c>
    </row>
    <row r="287" spans="1:6" x14ac:dyDescent="0.3">
      <c r="A287" t="s">
        <v>26</v>
      </c>
      <c r="B287">
        <v>2023</v>
      </c>
      <c r="C287">
        <v>85885</v>
      </c>
      <c r="D287">
        <v>11345</v>
      </c>
      <c r="E287">
        <v>1814</v>
      </c>
      <c r="F287">
        <v>76240</v>
      </c>
    </row>
    <row r="288" spans="1:6" x14ac:dyDescent="0.3">
      <c r="A288" t="s">
        <v>26</v>
      </c>
      <c r="B288">
        <v>2024</v>
      </c>
      <c r="C288">
        <v>110519</v>
      </c>
      <c r="D288">
        <v>15401</v>
      </c>
      <c r="E288">
        <v>1814</v>
      </c>
      <c r="F288">
        <v>90319</v>
      </c>
    </row>
    <row r="289" spans="1:6" x14ac:dyDescent="0.3">
      <c r="A289" t="s">
        <v>27</v>
      </c>
      <c r="C289">
        <v>22502</v>
      </c>
      <c r="D289">
        <v>3852</v>
      </c>
    </row>
    <row r="290" spans="1:6" x14ac:dyDescent="0.3">
      <c r="A290" t="s">
        <v>27</v>
      </c>
      <c r="B290">
        <v>2013</v>
      </c>
      <c r="C290">
        <v>2570</v>
      </c>
      <c r="D290">
        <v>308</v>
      </c>
      <c r="E290">
        <v>143</v>
      </c>
      <c r="F290">
        <v>1809</v>
      </c>
    </row>
    <row r="291" spans="1:6" x14ac:dyDescent="0.3">
      <c r="A291" t="s">
        <v>27</v>
      </c>
      <c r="B291">
        <v>2014</v>
      </c>
      <c r="C291">
        <v>3279</v>
      </c>
      <c r="D291">
        <v>368</v>
      </c>
      <c r="E291">
        <v>143</v>
      </c>
      <c r="F291">
        <v>2144</v>
      </c>
    </row>
    <row r="292" spans="1:6" x14ac:dyDescent="0.3">
      <c r="A292" t="s">
        <v>27</v>
      </c>
      <c r="B292">
        <v>2015</v>
      </c>
      <c r="C292">
        <v>3715</v>
      </c>
      <c r="D292">
        <v>444</v>
      </c>
      <c r="E292">
        <v>144</v>
      </c>
      <c r="F292">
        <v>2531</v>
      </c>
    </row>
    <row r="293" spans="1:6" x14ac:dyDescent="0.3">
      <c r="A293" t="s">
        <v>27</v>
      </c>
      <c r="B293">
        <v>2016</v>
      </c>
      <c r="C293">
        <v>4214</v>
      </c>
      <c r="D293">
        <v>575</v>
      </c>
      <c r="E293">
        <v>156</v>
      </c>
      <c r="F293">
        <v>3514</v>
      </c>
    </row>
    <row r="294" spans="1:6" x14ac:dyDescent="0.3">
      <c r="A294" t="s">
        <v>27</v>
      </c>
      <c r="B294">
        <v>2017</v>
      </c>
      <c r="C294">
        <v>4694</v>
      </c>
      <c r="D294">
        <v>718</v>
      </c>
      <c r="E294">
        <v>156</v>
      </c>
      <c r="F294">
        <v>4142</v>
      </c>
    </row>
    <row r="295" spans="1:6" x14ac:dyDescent="0.3">
      <c r="A295" t="s">
        <v>27</v>
      </c>
      <c r="B295">
        <v>2018</v>
      </c>
      <c r="C295">
        <v>5559</v>
      </c>
      <c r="D295">
        <v>918</v>
      </c>
      <c r="E295">
        <v>156</v>
      </c>
      <c r="F295">
        <v>4969</v>
      </c>
    </row>
    <row r="296" spans="1:6" x14ac:dyDescent="0.3">
      <c r="A296" t="s">
        <v>27</v>
      </c>
      <c r="B296">
        <v>2019</v>
      </c>
      <c r="C296">
        <v>7108</v>
      </c>
      <c r="D296">
        <v>1197</v>
      </c>
      <c r="E296">
        <v>156</v>
      </c>
      <c r="F296">
        <v>6052</v>
      </c>
    </row>
    <row r="297" spans="1:6" x14ac:dyDescent="0.3">
      <c r="A297" t="s">
        <v>27</v>
      </c>
      <c r="B297">
        <v>2020</v>
      </c>
      <c r="C297">
        <v>8712</v>
      </c>
      <c r="D297">
        <v>1054</v>
      </c>
      <c r="E297">
        <v>164</v>
      </c>
      <c r="F297">
        <v>8036</v>
      </c>
    </row>
    <row r="298" spans="1:6" x14ac:dyDescent="0.3">
      <c r="A298" t="s">
        <v>27</v>
      </c>
      <c r="B298">
        <v>2021</v>
      </c>
      <c r="C298">
        <v>9583</v>
      </c>
      <c r="D298">
        <v>1521</v>
      </c>
      <c r="E298">
        <v>164</v>
      </c>
      <c r="F298">
        <v>9436</v>
      </c>
    </row>
    <row r="299" spans="1:6" x14ac:dyDescent="0.3">
      <c r="A299" t="s">
        <v>27</v>
      </c>
      <c r="B299">
        <v>2022</v>
      </c>
      <c r="C299">
        <v>10148</v>
      </c>
      <c r="D299">
        <v>2154</v>
      </c>
      <c r="E299">
        <v>164</v>
      </c>
      <c r="F299">
        <v>11605</v>
      </c>
    </row>
    <row r="300" spans="1:6" x14ac:dyDescent="0.3">
      <c r="A300" t="s">
        <v>27</v>
      </c>
      <c r="B300">
        <v>2023</v>
      </c>
      <c r="C300">
        <v>12884</v>
      </c>
      <c r="D300">
        <v>2665</v>
      </c>
      <c r="E300">
        <v>164</v>
      </c>
      <c r="F300">
        <v>14182</v>
      </c>
    </row>
    <row r="301" spans="1:6" x14ac:dyDescent="0.3">
      <c r="A301" t="s">
        <v>27</v>
      </c>
      <c r="B301">
        <v>2024</v>
      </c>
      <c r="C301">
        <v>19163</v>
      </c>
      <c r="D301">
        <v>3420</v>
      </c>
      <c r="E301">
        <v>168</v>
      </c>
      <c r="F301">
        <v>19425</v>
      </c>
    </row>
    <row r="302" spans="1:6" x14ac:dyDescent="0.3">
      <c r="A302" t="s">
        <v>28</v>
      </c>
      <c r="C302">
        <v>26981</v>
      </c>
      <c r="D302">
        <v>4987</v>
      </c>
    </row>
    <row r="303" spans="1:6" x14ac:dyDescent="0.3">
      <c r="A303" t="s">
        <v>28</v>
      </c>
      <c r="B303">
        <v>2013</v>
      </c>
      <c r="C303">
        <v>8279</v>
      </c>
      <c r="D303">
        <v>1545</v>
      </c>
      <c r="E303">
        <v>161</v>
      </c>
      <c r="F303">
        <v>8858</v>
      </c>
    </row>
    <row r="304" spans="1:6" x14ac:dyDescent="0.3">
      <c r="A304" t="s">
        <v>28</v>
      </c>
      <c r="B304">
        <v>2014</v>
      </c>
      <c r="C304">
        <v>10173</v>
      </c>
      <c r="D304">
        <v>1404</v>
      </c>
      <c r="E304">
        <v>161</v>
      </c>
      <c r="F304">
        <v>9890</v>
      </c>
    </row>
    <row r="305" spans="1:6" x14ac:dyDescent="0.3">
      <c r="A305" t="s">
        <v>28</v>
      </c>
      <c r="B305">
        <v>2015</v>
      </c>
      <c r="C305">
        <v>11345</v>
      </c>
      <c r="D305">
        <v>1229</v>
      </c>
      <c r="E305">
        <v>161</v>
      </c>
      <c r="F305">
        <v>10641</v>
      </c>
    </row>
    <row r="306" spans="1:6" x14ac:dyDescent="0.3">
      <c r="A306" t="s">
        <v>28</v>
      </c>
      <c r="B306">
        <v>2016</v>
      </c>
      <c r="C306">
        <v>13790</v>
      </c>
      <c r="D306">
        <v>1383</v>
      </c>
      <c r="E306">
        <v>161</v>
      </c>
      <c r="F306">
        <v>11356</v>
      </c>
    </row>
    <row r="307" spans="1:6" x14ac:dyDescent="0.3">
      <c r="A307" t="s">
        <v>28</v>
      </c>
      <c r="B307">
        <v>2017</v>
      </c>
      <c r="C307">
        <v>14394</v>
      </c>
      <c r="D307">
        <v>1035</v>
      </c>
      <c r="E307">
        <v>161</v>
      </c>
      <c r="F307">
        <v>12383</v>
      </c>
    </row>
    <row r="308" spans="1:6" x14ac:dyDescent="0.3">
      <c r="A308" t="s">
        <v>28</v>
      </c>
      <c r="B308">
        <v>2018</v>
      </c>
      <c r="C308">
        <v>15156</v>
      </c>
      <c r="D308">
        <v>1417</v>
      </c>
      <c r="E308">
        <v>161</v>
      </c>
      <c r="F308">
        <v>14068</v>
      </c>
    </row>
    <row r="309" spans="1:6" x14ac:dyDescent="0.3">
      <c r="A309" t="s">
        <v>28</v>
      </c>
      <c r="B309">
        <v>2019</v>
      </c>
      <c r="C309">
        <v>16362</v>
      </c>
      <c r="D309">
        <v>1492</v>
      </c>
      <c r="E309">
        <v>161</v>
      </c>
      <c r="F309">
        <v>14851</v>
      </c>
    </row>
    <row r="310" spans="1:6" x14ac:dyDescent="0.3">
      <c r="A310" t="s">
        <v>28</v>
      </c>
      <c r="B310">
        <v>2020</v>
      </c>
      <c r="C310">
        <v>17132</v>
      </c>
      <c r="D310">
        <v>1500</v>
      </c>
      <c r="E310">
        <v>161</v>
      </c>
      <c r="F310">
        <v>15602</v>
      </c>
    </row>
    <row r="311" spans="1:6" x14ac:dyDescent="0.3">
      <c r="A311" t="s">
        <v>28</v>
      </c>
      <c r="B311">
        <v>2021</v>
      </c>
      <c r="C311">
        <v>19160</v>
      </c>
      <c r="D311">
        <v>2389</v>
      </c>
      <c r="E311">
        <v>161</v>
      </c>
      <c r="F311">
        <v>18165</v>
      </c>
    </row>
    <row r="312" spans="1:6" x14ac:dyDescent="0.3">
      <c r="A312" t="s">
        <v>28</v>
      </c>
      <c r="B312">
        <v>2022</v>
      </c>
      <c r="C312">
        <v>21763</v>
      </c>
      <c r="D312">
        <v>2547</v>
      </c>
      <c r="E312">
        <v>161</v>
      </c>
      <c r="F312">
        <v>20680</v>
      </c>
    </row>
    <row r="313" spans="1:6" x14ac:dyDescent="0.3">
      <c r="A313" t="s">
        <v>28</v>
      </c>
      <c r="B313">
        <v>2023</v>
      </c>
      <c r="C313">
        <v>22753</v>
      </c>
      <c r="D313">
        <v>2833</v>
      </c>
      <c r="E313">
        <v>161</v>
      </c>
      <c r="F313">
        <v>23246</v>
      </c>
    </row>
    <row r="314" spans="1:6" x14ac:dyDescent="0.3">
      <c r="A314" t="s">
        <v>28</v>
      </c>
      <c r="B314">
        <v>2024</v>
      </c>
      <c r="C314">
        <v>25774</v>
      </c>
      <c r="D314">
        <v>4154</v>
      </c>
      <c r="E314">
        <v>161</v>
      </c>
      <c r="F314">
        <v>26545</v>
      </c>
    </row>
    <row r="315" spans="1:6" x14ac:dyDescent="0.3">
      <c r="A315" t="s">
        <v>29</v>
      </c>
      <c r="C315">
        <v>140328</v>
      </c>
      <c r="D315">
        <v>34350</v>
      </c>
    </row>
    <row r="316" spans="1:6" x14ac:dyDescent="0.3">
      <c r="A316" t="s">
        <v>29</v>
      </c>
      <c r="B316">
        <v>2013</v>
      </c>
      <c r="C316">
        <v>68303</v>
      </c>
      <c r="D316">
        <v>17356</v>
      </c>
      <c r="E316">
        <v>6316</v>
      </c>
      <c r="F316">
        <v>42156</v>
      </c>
    </row>
    <row r="317" spans="1:6" x14ac:dyDescent="0.3">
      <c r="A317" t="s">
        <v>29</v>
      </c>
      <c r="B317">
        <v>2014</v>
      </c>
      <c r="C317">
        <v>70608</v>
      </c>
      <c r="D317">
        <v>15112</v>
      </c>
      <c r="E317">
        <v>6316</v>
      </c>
      <c r="F317">
        <v>36088</v>
      </c>
    </row>
    <row r="318" spans="1:6" x14ac:dyDescent="0.3">
      <c r="A318" t="s">
        <v>29</v>
      </c>
      <c r="B318">
        <v>2015</v>
      </c>
      <c r="C318">
        <v>74120</v>
      </c>
      <c r="D318">
        <v>13727</v>
      </c>
      <c r="E318">
        <v>6316</v>
      </c>
      <c r="F318">
        <v>34037</v>
      </c>
    </row>
    <row r="319" spans="1:6" x14ac:dyDescent="0.3">
      <c r="A319" t="s">
        <v>29</v>
      </c>
      <c r="B319">
        <v>2016</v>
      </c>
      <c r="C319">
        <v>77861</v>
      </c>
      <c r="D319">
        <v>14267</v>
      </c>
      <c r="E319">
        <v>6316</v>
      </c>
      <c r="F319">
        <v>28517</v>
      </c>
    </row>
    <row r="320" spans="1:6" x14ac:dyDescent="0.3">
      <c r="A320" t="s">
        <v>29</v>
      </c>
      <c r="B320">
        <v>2017</v>
      </c>
      <c r="C320">
        <v>78164</v>
      </c>
      <c r="D320">
        <v>9280</v>
      </c>
      <c r="E320">
        <v>6207</v>
      </c>
      <c r="F320">
        <v>18311</v>
      </c>
    </row>
    <row r="321" spans="1:6" x14ac:dyDescent="0.3">
      <c r="A321" t="s">
        <v>29</v>
      </c>
      <c r="B321">
        <v>2018</v>
      </c>
      <c r="C321">
        <v>85244</v>
      </c>
      <c r="D321">
        <v>7038</v>
      </c>
      <c r="E321">
        <v>6207</v>
      </c>
      <c r="F321">
        <v>13971</v>
      </c>
    </row>
    <row r="322" spans="1:6" x14ac:dyDescent="0.3">
      <c r="A322" t="s">
        <v>29</v>
      </c>
      <c r="B322">
        <v>2019</v>
      </c>
      <c r="C322">
        <v>99586</v>
      </c>
      <c r="D322">
        <v>17464</v>
      </c>
      <c r="E322">
        <v>6163</v>
      </c>
      <c r="F322">
        <v>20292</v>
      </c>
    </row>
    <row r="323" spans="1:6" x14ac:dyDescent="0.3">
      <c r="A323" t="s">
        <v>29</v>
      </c>
      <c r="B323">
        <v>2020</v>
      </c>
      <c r="C323">
        <v>96080</v>
      </c>
      <c r="D323">
        <v>16700</v>
      </c>
      <c r="E323">
        <v>6163</v>
      </c>
      <c r="F323">
        <v>25994</v>
      </c>
    </row>
    <row r="324" spans="1:6" x14ac:dyDescent="0.3">
      <c r="A324" t="s">
        <v>29</v>
      </c>
      <c r="B324">
        <v>2021</v>
      </c>
      <c r="C324">
        <v>90026</v>
      </c>
      <c r="D324">
        <v>12702</v>
      </c>
      <c r="E324">
        <v>6163</v>
      </c>
      <c r="F324">
        <v>30355</v>
      </c>
    </row>
    <row r="325" spans="1:6" x14ac:dyDescent="0.3">
      <c r="A325" t="s">
        <v>29</v>
      </c>
      <c r="B325">
        <v>2022</v>
      </c>
      <c r="C325">
        <v>109715</v>
      </c>
      <c r="D325">
        <v>17378</v>
      </c>
      <c r="E325">
        <v>6163</v>
      </c>
      <c r="F325">
        <v>36980</v>
      </c>
    </row>
    <row r="326" spans="1:6" x14ac:dyDescent="0.3">
      <c r="A326" t="s">
        <v>29</v>
      </c>
      <c r="B326">
        <v>2023</v>
      </c>
      <c r="C326">
        <v>138252</v>
      </c>
      <c r="D326">
        <v>31723</v>
      </c>
      <c r="E326">
        <v>6163</v>
      </c>
      <c r="F326">
        <v>54680</v>
      </c>
    </row>
    <row r="327" spans="1:6" x14ac:dyDescent="0.3">
      <c r="A327" t="s">
        <v>29</v>
      </c>
      <c r="B327">
        <v>2024</v>
      </c>
      <c r="C327">
        <v>142324</v>
      </c>
      <c r="D327">
        <v>37369</v>
      </c>
      <c r="E327">
        <v>6163</v>
      </c>
      <c r="F327">
        <v>76567</v>
      </c>
    </row>
    <row r="328" spans="1:6" x14ac:dyDescent="0.3">
      <c r="A328" t="s">
        <v>30</v>
      </c>
      <c r="C328">
        <v>12447</v>
      </c>
      <c r="D328">
        <v>1760</v>
      </c>
    </row>
    <row r="329" spans="1:6" x14ac:dyDescent="0.3">
      <c r="A329" t="s">
        <v>30</v>
      </c>
      <c r="B329">
        <v>2013</v>
      </c>
      <c r="C329">
        <v>6140</v>
      </c>
      <c r="D329">
        <v>766</v>
      </c>
      <c r="E329">
        <v>174</v>
      </c>
      <c r="F329">
        <v>1921</v>
      </c>
    </row>
    <row r="330" spans="1:6" x14ac:dyDescent="0.3">
      <c r="A330" t="s">
        <v>30</v>
      </c>
      <c r="B330">
        <v>2014</v>
      </c>
      <c r="C330">
        <v>7058</v>
      </c>
      <c r="D330">
        <v>916</v>
      </c>
      <c r="E330">
        <v>174</v>
      </c>
      <c r="F330">
        <v>2482</v>
      </c>
    </row>
    <row r="331" spans="1:6" x14ac:dyDescent="0.3">
      <c r="A331" t="s">
        <v>30</v>
      </c>
      <c r="B331">
        <v>2015</v>
      </c>
      <c r="C331">
        <v>7795</v>
      </c>
      <c r="D331">
        <v>1068</v>
      </c>
      <c r="E331">
        <v>176</v>
      </c>
      <c r="F331">
        <v>3178</v>
      </c>
    </row>
    <row r="332" spans="1:6" x14ac:dyDescent="0.3">
      <c r="A332" t="s">
        <v>30</v>
      </c>
      <c r="B332">
        <v>2016</v>
      </c>
      <c r="C332">
        <v>7780</v>
      </c>
      <c r="D332">
        <v>1254</v>
      </c>
      <c r="E332">
        <v>176</v>
      </c>
      <c r="F332">
        <v>3995</v>
      </c>
    </row>
    <row r="333" spans="1:6" x14ac:dyDescent="0.3">
      <c r="A333" t="s">
        <v>30</v>
      </c>
      <c r="B333">
        <v>2017</v>
      </c>
      <c r="C333">
        <v>7614</v>
      </c>
      <c r="D333">
        <v>1280</v>
      </c>
      <c r="E333">
        <v>176</v>
      </c>
      <c r="F333">
        <v>4671</v>
      </c>
    </row>
    <row r="334" spans="1:6" x14ac:dyDescent="0.3">
      <c r="A334" t="s">
        <v>30</v>
      </c>
      <c r="B334">
        <v>2018</v>
      </c>
      <c r="C334">
        <v>7722</v>
      </c>
      <c r="D334">
        <v>1358</v>
      </c>
      <c r="E334">
        <v>176</v>
      </c>
      <c r="F334">
        <v>5530</v>
      </c>
    </row>
    <row r="335" spans="1:6" x14ac:dyDescent="0.3">
      <c r="A335" t="s">
        <v>30</v>
      </c>
      <c r="B335">
        <v>2019</v>
      </c>
      <c r="C335">
        <v>8515</v>
      </c>
      <c r="D335">
        <v>1446</v>
      </c>
      <c r="E335">
        <v>177</v>
      </c>
      <c r="F335">
        <v>5455</v>
      </c>
    </row>
    <row r="336" spans="1:6" x14ac:dyDescent="0.3">
      <c r="A336" t="s">
        <v>30</v>
      </c>
      <c r="B336">
        <v>2020</v>
      </c>
      <c r="C336">
        <v>8685</v>
      </c>
      <c r="D336">
        <v>1448</v>
      </c>
      <c r="E336">
        <v>177</v>
      </c>
      <c r="F336">
        <v>6429</v>
      </c>
    </row>
    <row r="337" spans="1:6" x14ac:dyDescent="0.3">
      <c r="A337" t="s">
        <v>30</v>
      </c>
      <c r="B337">
        <v>2021</v>
      </c>
      <c r="C337">
        <v>9562</v>
      </c>
      <c r="D337">
        <v>1695</v>
      </c>
      <c r="E337">
        <v>177</v>
      </c>
      <c r="F337">
        <v>7487</v>
      </c>
    </row>
    <row r="338" spans="1:6" x14ac:dyDescent="0.3">
      <c r="A338" t="s">
        <v>30</v>
      </c>
      <c r="B338">
        <v>2022</v>
      </c>
      <c r="C338">
        <v>10889</v>
      </c>
      <c r="D338">
        <v>1742</v>
      </c>
      <c r="E338">
        <v>177</v>
      </c>
      <c r="F338">
        <v>8205</v>
      </c>
    </row>
    <row r="339" spans="1:6" x14ac:dyDescent="0.3">
      <c r="A339" t="s">
        <v>30</v>
      </c>
      <c r="B339">
        <v>2023</v>
      </c>
      <c r="C339">
        <v>11530</v>
      </c>
      <c r="D339">
        <v>1701</v>
      </c>
      <c r="E339">
        <v>177</v>
      </c>
      <c r="F339">
        <v>8796</v>
      </c>
    </row>
    <row r="340" spans="1:6" x14ac:dyDescent="0.3">
      <c r="A340" t="s">
        <v>30</v>
      </c>
      <c r="B340">
        <v>2024</v>
      </c>
      <c r="C340">
        <v>12404</v>
      </c>
      <c r="D340">
        <v>1811</v>
      </c>
      <c r="E340">
        <v>177</v>
      </c>
      <c r="F340">
        <v>9689</v>
      </c>
    </row>
    <row r="341" spans="1:6" x14ac:dyDescent="0.3">
      <c r="A341" t="s">
        <v>31</v>
      </c>
      <c r="C341">
        <v>8614</v>
      </c>
      <c r="D341">
        <v>1836</v>
      </c>
    </row>
    <row r="342" spans="1:6" x14ac:dyDescent="0.3">
      <c r="A342" t="s">
        <v>31</v>
      </c>
      <c r="B342">
        <v>2013</v>
      </c>
      <c r="C342">
        <v>2145</v>
      </c>
      <c r="D342">
        <v>602</v>
      </c>
      <c r="E342">
        <v>27</v>
      </c>
      <c r="F342">
        <v>2474</v>
      </c>
    </row>
    <row r="343" spans="1:6" x14ac:dyDescent="0.3">
      <c r="A343" t="s">
        <v>31</v>
      </c>
      <c r="B343">
        <v>2014</v>
      </c>
      <c r="C343">
        <v>2532</v>
      </c>
      <c r="D343">
        <v>773</v>
      </c>
      <c r="E343">
        <v>27</v>
      </c>
      <c r="F343">
        <v>2937</v>
      </c>
    </row>
    <row r="344" spans="1:6" x14ac:dyDescent="0.3">
      <c r="A344" t="s">
        <v>31</v>
      </c>
      <c r="B344">
        <v>2015</v>
      </c>
      <c r="C344">
        <v>3115</v>
      </c>
      <c r="D344">
        <v>852</v>
      </c>
      <c r="E344">
        <v>27</v>
      </c>
      <c r="F344">
        <v>3469</v>
      </c>
    </row>
    <row r="345" spans="1:6" x14ac:dyDescent="0.3">
      <c r="A345" t="s">
        <v>31</v>
      </c>
      <c r="B345">
        <v>2016</v>
      </c>
      <c r="C345">
        <v>3776</v>
      </c>
      <c r="D345">
        <v>1126</v>
      </c>
      <c r="E345">
        <v>53</v>
      </c>
      <c r="F345">
        <v>4240</v>
      </c>
    </row>
    <row r="346" spans="1:6" x14ac:dyDescent="0.3">
      <c r="A346" t="s">
        <v>31</v>
      </c>
      <c r="B346">
        <v>2017</v>
      </c>
      <c r="C346">
        <v>4064</v>
      </c>
      <c r="D346">
        <v>1060</v>
      </c>
      <c r="E346">
        <v>53</v>
      </c>
      <c r="F346">
        <v>5304</v>
      </c>
    </row>
    <row r="347" spans="1:6" x14ac:dyDescent="0.3">
      <c r="A347" t="s">
        <v>31</v>
      </c>
      <c r="B347">
        <v>2018</v>
      </c>
      <c r="C347">
        <v>3891</v>
      </c>
      <c r="D347">
        <v>877</v>
      </c>
      <c r="E347">
        <v>53</v>
      </c>
      <c r="F347">
        <v>5872</v>
      </c>
    </row>
    <row r="348" spans="1:6" x14ac:dyDescent="0.3">
      <c r="A348" t="s">
        <v>31</v>
      </c>
      <c r="B348">
        <v>2019</v>
      </c>
      <c r="C348">
        <v>4946</v>
      </c>
      <c r="D348">
        <v>1353</v>
      </c>
      <c r="E348">
        <v>53</v>
      </c>
      <c r="F348">
        <v>6904</v>
      </c>
    </row>
    <row r="349" spans="1:6" x14ac:dyDescent="0.3">
      <c r="A349" t="s">
        <v>31</v>
      </c>
      <c r="B349">
        <v>2020</v>
      </c>
      <c r="C349">
        <v>5394</v>
      </c>
      <c r="D349">
        <v>1377</v>
      </c>
      <c r="E349">
        <v>53</v>
      </c>
      <c r="F349">
        <v>7257</v>
      </c>
    </row>
    <row r="350" spans="1:6" x14ac:dyDescent="0.3">
      <c r="A350" t="s">
        <v>31</v>
      </c>
      <c r="B350">
        <v>2021</v>
      </c>
      <c r="C350">
        <v>6969</v>
      </c>
      <c r="D350">
        <v>1984</v>
      </c>
      <c r="E350">
        <v>53</v>
      </c>
      <c r="F350">
        <v>9242</v>
      </c>
    </row>
    <row r="351" spans="1:6" x14ac:dyDescent="0.3">
      <c r="A351" t="s">
        <v>31</v>
      </c>
      <c r="B351">
        <v>2022</v>
      </c>
      <c r="C351">
        <v>8960</v>
      </c>
      <c r="D351">
        <v>2960</v>
      </c>
      <c r="E351">
        <v>53</v>
      </c>
      <c r="F351">
        <v>11675</v>
      </c>
    </row>
    <row r="352" spans="1:6" x14ac:dyDescent="0.3">
      <c r="A352" t="s">
        <v>31</v>
      </c>
      <c r="B352">
        <v>2023</v>
      </c>
      <c r="C352">
        <v>7767</v>
      </c>
      <c r="D352">
        <v>1824</v>
      </c>
      <c r="E352">
        <v>53</v>
      </c>
      <c r="F352">
        <v>12714</v>
      </c>
    </row>
    <row r="353" spans="1:6" x14ac:dyDescent="0.3">
      <c r="A353" t="s">
        <v>31</v>
      </c>
      <c r="B353">
        <v>2024</v>
      </c>
      <c r="C353">
        <v>7845</v>
      </c>
      <c r="D353">
        <v>1600</v>
      </c>
      <c r="E353">
        <v>53</v>
      </c>
      <c r="F353">
        <v>13518</v>
      </c>
    </row>
    <row r="354" spans="1:6" x14ac:dyDescent="0.3">
      <c r="A354" t="s">
        <v>32</v>
      </c>
      <c r="C354">
        <v>7001</v>
      </c>
      <c r="D354">
        <v>4004</v>
      </c>
    </row>
    <row r="355" spans="1:6" x14ac:dyDescent="0.3">
      <c r="A355" t="s">
        <v>32</v>
      </c>
      <c r="B355">
        <v>2013</v>
      </c>
      <c r="C355">
        <v>7773</v>
      </c>
      <c r="D355">
        <v>667</v>
      </c>
      <c r="E355">
        <v>340</v>
      </c>
      <c r="F355">
        <v>25389</v>
      </c>
    </row>
    <row r="356" spans="1:6" x14ac:dyDescent="0.3">
      <c r="A356" t="s">
        <v>32</v>
      </c>
      <c r="B356">
        <v>2014</v>
      </c>
      <c r="C356">
        <v>8298</v>
      </c>
      <c r="D356">
        <v>590</v>
      </c>
      <c r="E356">
        <v>356</v>
      </c>
      <c r="F356">
        <v>27039</v>
      </c>
    </row>
    <row r="357" spans="1:6" x14ac:dyDescent="0.3">
      <c r="A357" t="s">
        <v>32</v>
      </c>
      <c r="B357">
        <v>2015</v>
      </c>
      <c r="C357">
        <v>7649</v>
      </c>
      <c r="D357">
        <v>507</v>
      </c>
      <c r="E357">
        <v>356</v>
      </c>
      <c r="F357">
        <v>27013</v>
      </c>
    </row>
    <row r="358" spans="1:6" x14ac:dyDescent="0.3">
      <c r="A358" t="s">
        <v>32</v>
      </c>
      <c r="B358">
        <v>2016</v>
      </c>
      <c r="C358">
        <v>9926</v>
      </c>
      <c r="D358">
        <v>305</v>
      </c>
      <c r="E358">
        <v>357</v>
      </c>
      <c r="F358">
        <v>23712</v>
      </c>
    </row>
    <row r="359" spans="1:6" x14ac:dyDescent="0.3">
      <c r="A359" t="s">
        <v>32</v>
      </c>
      <c r="B359">
        <v>2017</v>
      </c>
      <c r="C359">
        <v>8221</v>
      </c>
      <c r="D359">
        <v>708</v>
      </c>
      <c r="E359">
        <v>357</v>
      </c>
      <c r="F359">
        <v>24216</v>
      </c>
    </row>
    <row r="360" spans="1:6" x14ac:dyDescent="0.3">
      <c r="A360" t="s">
        <v>32</v>
      </c>
      <c r="B360">
        <v>2018</v>
      </c>
      <c r="C360">
        <v>6707</v>
      </c>
      <c r="D360">
        <v>4477</v>
      </c>
      <c r="E360">
        <v>357</v>
      </c>
      <c r="F360">
        <v>34954</v>
      </c>
    </row>
    <row r="361" spans="1:6" x14ac:dyDescent="0.3">
      <c r="A361" t="s">
        <v>32</v>
      </c>
      <c r="B361">
        <v>2019</v>
      </c>
      <c r="C361">
        <v>8366</v>
      </c>
      <c r="D361">
        <v>1314</v>
      </c>
      <c r="E361">
        <v>441</v>
      </c>
      <c r="F361">
        <v>33135</v>
      </c>
    </row>
    <row r="362" spans="1:6" x14ac:dyDescent="0.3">
      <c r="A362" t="s">
        <v>32</v>
      </c>
      <c r="B362">
        <v>2020</v>
      </c>
      <c r="C362">
        <v>6083</v>
      </c>
      <c r="D362">
        <v>-590</v>
      </c>
      <c r="E362">
        <v>495</v>
      </c>
      <c r="F362">
        <v>33952</v>
      </c>
    </row>
    <row r="363" spans="1:6" x14ac:dyDescent="0.3">
      <c r="A363" t="s">
        <v>32</v>
      </c>
      <c r="B363">
        <v>2021</v>
      </c>
      <c r="C363">
        <v>5414</v>
      </c>
      <c r="D363">
        <v>1083</v>
      </c>
      <c r="E363">
        <v>495</v>
      </c>
      <c r="F363">
        <v>34849</v>
      </c>
    </row>
    <row r="364" spans="1:6" x14ac:dyDescent="0.3">
      <c r="A364" t="s">
        <v>32</v>
      </c>
      <c r="B364">
        <v>2022</v>
      </c>
      <c r="C364">
        <v>5717</v>
      </c>
      <c r="D364">
        <v>1500</v>
      </c>
      <c r="E364">
        <v>495</v>
      </c>
      <c r="F364">
        <v>35867</v>
      </c>
    </row>
    <row r="365" spans="1:6" x14ac:dyDescent="0.3">
      <c r="A365" t="s">
        <v>32</v>
      </c>
      <c r="B365">
        <v>2023</v>
      </c>
      <c r="C365">
        <v>5695</v>
      </c>
      <c r="D365">
        <v>2034</v>
      </c>
      <c r="E365">
        <v>495</v>
      </c>
      <c r="F365">
        <v>37192</v>
      </c>
    </row>
    <row r="366" spans="1:6" x14ac:dyDescent="0.3">
      <c r="A366" t="s">
        <v>32</v>
      </c>
      <c r="B366">
        <v>2024</v>
      </c>
      <c r="C366">
        <v>6427</v>
      </c>
      <c r="D366">
        <v>2724</v>
      </c>
      <c r="E366">
        <v>495</v>
      </c>
      <c r="F366">
        <v>38936</v>
      </c>
    </row>
    <row r="367" spans="1:6" x14ac:dyDescent="0.3">
      <c r="A367" t="s">
        <v>33</v>
      </c>
      <c r="C367">
        <v>57213</v>
      </c>
      <c r="D367">
        <v>2720</v>
      </c>
    </row>
    <row r="368" spans="1:6" x14ac:dyDescent="0.3">
      <c r="A368" t="s">
        <v>33</v>
      </c>
      <c r="B368">
        <v>2013</v>
      </c>
      <c r="C368">
        <v>3341</v>
      </c>
      <c r="D368">
        <v>94</v>
      </c>
      <c r="E368">
        <v>544</v>
      </c>
      <c r="F368">
        <v>245</v>
      </c>
    </row>
    <row r="369" spans="1:6" x14ac:dyDescent="0.3">
      <c r="A369" t="s">
        <v>33</v>
      </c>
      <c r="B369">
        <v>2014</v>
      </c>
      <c r="C369">
        <v>4686</v>
      </c>
      <c r="D369">
        <v>161</v>
      </c>
      <c r="E369">
        <v>547</v>
      </c>
      <c r="F369">
        <v>409</v>
      </c>
    </row>
    <row r="370" spans="1:6" x14ac:dyDescent="0.3">
      <c r="A370" t="s">
        <v>33</v>
      </c>
      <c r="B370">
        <v>2015</v>
      </c>
      <c r="C370">
        <v>6439</v>
      </c>
      <c r="D370">
        <v>212</v>
      </c>
      <c r="E370">
        <v>562</v>
      </c>
      <c r="F370">
        <v>638</v>
      </c>
    </row>
    <row r="371" spans="1:6" x14ac:dyDescent="0.3">
      <c r="A371" t="s">
        <v>33</v>
      </c>
      <c r="B371">
        <v>2016</v>
      </c>
      <c r="C371">
        <v>8584</v>
      </c>
      <c r="D371">
        <v>320</v>
      </c>
      <c r="E371">
        <v>562</v>
      </c>
      <c r="F371">
        <v>959</v>
      </c>
    </row>
    <row r="372" spans="1:6" x14ac:dyDescent="0.3">
      <c r="A372" t="s">
        <v>33</v>
      </c>
      <c r="B372">
        <v>2017</v>
      </c>
      <c r="C372">
        <v>11898</v>
      </c>
      <c r="D372">
        <v>479</v>
      </c>
      <c r="E372">
        <v>624</v>
      </c>
      <c r="F372">
        <v>3218</v>
      </c>
    </row>
    <row r="373" spans="1:6" x14ac:dyDescent="0.3">
      <c r="A373" t="s">
        <v>33</v>
      </c>
      <c r="B373">
        <v>2018</v>
      </c>
      <c r="C373">
        <v>15033</v>
      </c>
      <c r="D373">
        <v>806</v>
      </c>
      <c r="E373">
        <v>624</v>
      </c>
      <c r="F373">
        <v>4045</v>
      </c>
    </row>
    <row r="374" spans="1:6" x14ac:dyDescent="0.3">
      <c r="A374" t="s">
        <v>33</v>
      </c>
      <c r="B374">
        <v>2019</v>
      </c>
      <c r="C374">
        <v>20005</v>
      </c>
      <c r="D374">
        <v>902</v>
      </c>
      <c r="E374">
        <v>624</v>
      </c>
      <c r="F374">
        <v>4963</v>
      </c>
    </row>
    <row r="375" spans="1:6" x14ac:dyDescent="0.3">
      <c r="A375" t="s">
        <v>33</v>
      </c>
      <c r="B375">
        <v>2020</v>
      </c>
      <c r="C375">
        <v>24870</v>
      </c>
      <c r="D375">
        <v>1301</v>
      </c>
      <c r="E375">
        <v>648</v>
      </c>
      <c r="F375">
        <v>10432</v>
      </c>
    </row>
    <row r="376" spans="1:6" x14ac:dyDescent="0.3">
      <c r="A376" t="s">
        <v>33</v>
      </c>
      <c r="B376">
        <v>2021</v>
      </c>
      <c r="C376">
        <v>24143</v>
      </c>
      <c r="D376">
        <v>1099</v>
      </c>
      <c r="E376">
        <v>648</v>
      </c>
      <c r="F376">
        <v>11536</v>
      </c>
    </row>
    <row r="377" spans="1:6" x14ac:dyDescent="0.3">
      <c r="A377" t="s">
        <v>33</v>
      </c>
      <c r="B377">
        <v>2022</v>
      </c>
      <c r="C377">
        <v>30976</v>
      </c>
      <c r="D377">
        <v>1492</v>
      </c>
      <c r="E377">
        <v>648</v>
      </c>
      <c r="F377">
        <v>13030</v>
      </c>
    </row>
    <row r="378" spans="1:6" x14ac:dyDescent="0.3">
      <c r="A378" t="s">
        <v>33</v>
      </c>
      <c r="B378">
        <v>2023</v>
      </c>
      <c r="C378">
        <v>42840</v>
      </c>
      <c r="D378">
        <v>2378</v>
      </c>
      <c r="E378">
        <v>648</v>
      </c>
      <c r="F378">
        <v>15430</v>
      </c>
    </row>
    <row r="379" spans="1:6" x14ac:dyDescent="0.3">
      <c r="A379" t="s">
        <v>33</v>
      </c>
      <c r="B379">
        <v>2024</v>
      </c>
      <c r="C379">
        <v>50789</v>
      </c>
      <c r="D379">
        <v>2536</v>
      </c>
      <c r="E379">
        <v>651</v>
      </c>
      <c r="F379">
        <v>18047</v>
      </c>
    </row>
    <row r="380" spans="1:6" x14ac:dyDescent="0.3">
      <c r="A380" t="s">
        <v>34</v>
      </c>
      <c r="C380">
        <v>31229</v>
      </c>
      <c r="D380">
        <v>5448</v>
      </c>
    </row>
    <row r="381" spans="1:6" x14ac:dyDescent="0.3">
      <c r="A381" t="s">
        <v>34</v>
      </c>
      <c r="B381">
        <v>2013</v>
      </c>
      <c r="C381">
        <v>11833</v>
      </c>
      <c r="D381">
        <v>1527</v>
      </c>
      <c r="E381">
        <v>85</v>
      </c>
      <c r="F381">
        <v>6284</v>
      </c>
    </row>
    <row r="382" spans="1:6" x14ac:dyDescent="0.3">
      <c r="A382" t="s">
        <v>34</v>
      </c>
      <c r="B382">
        <v>2014</v>
      </c>
      <c r="C382">
        <v>13415</v>
      </c>
      <c r="D382">
        <v>1963</v>
      </c>
      <c r="E382">
        <v>85</v>
      </c>
      <c r="F382">
        <v>7780</v>
      </c>
    </row>
    <row r="383" spans="1:6" x14ac:dyDescent="0.3">
      <c r="A383" t="s">
        <v>34</v>
      </c>
      <c r="B383">
        <v>2015</v>
      </c>
      <c r="C383">
        <v>15023</v>
      </c>
      <c r="D383">
        <v>2336</v>
      </c>
      <c r="E383">
        <v>85</v>
      </c>
      <c r="F383">
        <v>9768</v>
      </c>
    </row>
    <row r="384" spans="1:6" x14ac:dyDescent="0.3">
      <c r="A384" t="s">
        <v>34</v>
      </c>
      <c r="B384">
        <v>2016</v>
      </c>
      <c r="C384">
        <v>15568</v>
      </c>
      <c r="D384">
        <v>2131</v>
      </c>
      <c r="E384">
        <v>85</v>
      </c>
      <c r="F384">
        <v>12484</v>
      </c>
    </row>
    <row r="385" spans="1:6" x14ac:dyDescent="0.3">
      <c r="A385" t="s">
        <v>34</v>
      </c>
      <c r="B385">
        <v>2017</v>
      </c>
      <c r="C385">
        <v>14196</v>
      </c>
      <c r="D385">
        <v>1292</v>
      </c>
      <c r="E385">
        <v>83</v>
      </c>
      <c r="F385">
        <v>12179</v>
      </c>
    </row>
    <row r="386" spans="1:6" x14ac:dyDescent="0.3">
      <c r="A386" t="s">
        <v>34</v>
      </c>
      <c r="B386">
        <v>2018</v>
      </c>
      <c r="C386">
        <v>14281</v>
      </c>
      <c r="D386">
        <v>947</v>
      </c>
      <c r="E386">
        <v>83</v>
      </c>
      <c r="F386">
        <v>12489</v>
      </c>
    </row>
    <row r="387" spans="1:6" x14ac:dyDescent="0.3">
      <c r="A387" t="s">
        <v>34</v>
      </c>
      <c r="B387">
        <v>2019</v>
      </c>
      <c r="C387">
        <v>15448</v>
      </c>
      <c r="D387">
        <v>1950</v>
      </c>
      <c r="E387">
        <v>83</v>
      </c>
      <c r="F387">
        <v>13941</v>
      </c>
    </row>
    <row r="388" spans="1:6" x14ac:dyDescent="0.3">
      <c r="A388" t="s">
        <v>34</v>
      </c>
      <c r="B388">
        <v>2020</v>
      </c>
      <c r="C388">
        <v>17517</v>
      </c>
      <c r="D388">
        <v>2026</v>
      </c>
      <c r="E388">
        <v>83</v>
      </c>
      <c r="F388">
        <v>15516</v>
      </c>
    </row>
    <row r="389" spans="1:6" x14ac:dyDescent="0.3">
      <c r="A389" t="s">
        <v>34</v>
      </c>
      <c r="B389">
        <v>2021</v>
      </c>
      <c r="C389">
        <v>19048</v>
      </c>
      <c r="D389">
        <v>1952</v>
      </c>
      <c r="E389">
        <v>83</v>
      </c>
      <c r="F389">
        <v>17558</v>
      </c>
    </row>
    <row r="390" spans="1:6" x14ac:dyDescent="0.3">
      <c r="A390" t="s">
        <v>34</v>
      </c>
      <c r="B390">
        <v>2022</v>
      </c>
      <c r="C390">
        <v>21545</v>
      </c>
      <c r="D390">
        <v>2182</v>
      </c>
      <c r="E390">
        <v>83</v>
      </c>
      <c r="F390">
        <v>19129</v>
      </c>
    </row>
    <row r="391" spans="1:6" x14ac:dyDescent="0.3">
      <c r="A391" t="s">
        <v>34</v>
      </c>
      <c r="B391">
        <v>2023</v>
      </c>
      <c r="C391">
        <v>24670</v>
      </c>
      <c r="D391">
        <v>4507</v>
      </c>
      <c r="E391">
        <v>83</v>
      </c>
      <c r="F391">
        <v>23203</v>
      </c>
    </row>
    <row r="392" spans="1:6" x14ac:dyDescent="0.3">
      <c r="A392" t="s">
        <v>34</v>
      </c>
      <c r="B392">
        <v>2024</v>
      </c>
      <c r="C392">
        <v>28011</v>
      </c>
      <c r="D392">
        <v>5578</v>
      </c>
      <c r="E392">
        <v>83</v>
      </c>
      <c r="F392">
        <v>28171</v>
      </c>
    </row>
    <row r="393" spans="1:6" x14ac:dyDescent="0.3">
      <c r="A393" t="s">
        <v>35</v>
      </c>
      <c r="C393">
        <v>17091</v>
      </c>
      <c r="D393">
        <v>4268</v>
      </c>
    </row>
    <row r="394" spans="1:6" x14ac:dyDescent="0.3">
      <c r="A394" t="s">
        <v>35</v>
      </c>
      <c r="B394">
        <v>2012</v>
      </c>
      <c r="C394">
        <v>6390</v>
      </c>
      <c r="D394">
        <v>475</v>
      </c>
      <c r="E394">
        <v>27</v>
      </c>
      <c r="F394">
        <v>1728</v>
      </c>
    </row>
    <row r="395" spans="1:6" x14ac:dyDescent="0.3">
      <c r="A395" t="s">
        <v>35</v>
      </c>
      <c r="B395">
        <v>2013</v>
      </c>
      <c r="C395">
        <v>6810</v>
      </c>
      <c r="D395">
        <v>525</v>
      </c>
      <c r="E395">
        <v>27</v>
      </c>
      <c r="F395">
        <v>2028</v>
      </c>
    </row>
    <row r="396" spans="1:6" x14ac:dyDescent="0.3">
      <c r="A396" t="s">
        <v>35</v>
      </c>
      <c r="B396">
        <v>2014</v>
      </c>
      <c r="C396">
        <v>8738</v>
      </c>
      <c r="D396">
        <v>702</v>
      </c>
      <c r="E396">
        <v>27</v>
      </c>
      <c r="F396">
        <v>2489</v>
      </c>
    </row>
    <row r="397" spans="1:6" x14ac:dyDescent="0.3">
      <c r="A397" t="s">
        <v>35</v>
      </c>
      <c r="B397">
        <v>2016</v>
      </c>
      <c r="C397">
        <v>6173</v>
      </c>
      <c r="D397">
        <v>1338</v>
      </c>
      <c r="E397">
        <v>27</v>
      </c>
      <c r="F397">
        <v>3626</v>
      </c>
    </row>
    <row r="398" spans="1:6" x14ac:dyDescent="0.3">
      <c r="A398" t="s">
        <v>35</v>
      </c>
      <c r="B398">
        <v>2017</v>
      </c>
      <c r="C398">
        <v>7033</v>
      </c>
      <c r="D398">
        <v>1667</v>
      </c>
      <c r="E398">
        <v>27</v>
      </c>
      <c r="F398">
        <v>5318</v>
      </c>
    </row>
    <row r="399" spans="1:6" x14ac:dyDescent="0.3">
      <c r="A399" t="s">
        <v>35</v>
      </c>
      <c r="B399">
        <v>2018</v>
      </c>
      <c r="C399">
        <v>8965</v>
      </c>
      <c r="D399">
        <v>1960</v>
      </c>
      <c r="E399">
        <v>27</v>
      </c>
      <c r="F399">
        <v>7003</v>
      </c>
    </row>
    <row r="400" spans="1:6" x14ac:dyDescent="0.3">
      <c r="A400" t="s">
        <v>35</v>
      </c>
      <c r="B400">
        <v>2019</v>
      </c>
      <c r="C400">
        <v>9797</v>
      </c>
      <c r="D400">
        <v>2203</v>
      </c>
      <c r="E400">
        <v>27</v>
      </c>
      <c r="F400">
        <v>8891</v>
      </c>
    </row>
    <row r="401" spans="1:6" x14ac:dyDescent="0.3">
      <c r="A401" t="s">
        <v>35</v>
      </c>
      <c r="B401">
        <v>2020</v>
      </c>
      <c r="C401">
        <v>9154</v>
      </c>
      <c r="D401">
        <v>1827</v>
      </c>
      <c r="E401">
        <v>27</v>
      </c>
      <c r="F401">
        <v>9954</v>
      </c>
    </row>
    <row r="402" spans="1:6" x14ac:dyDescent="0.3">
      <c r="A402" t="s">
        <v>35</v>
      </c>
      <c r="B402">
        <v>2021</v>
      </c>
      <c r="C402">
        <v>8720</v>
      </c>
      <c r="D402">
        <v>1347</v>
      </c>
      <c r="E402">
        <v>27</v>
      </c>
      <c r="F402">
        <v>11411</v>
      </c>
    </row>
    <row r="403" spans="1:6" x14ac:dyDescent="0.3">
      <c r="A403" t="s">
        <v>35</v>
      </c>
      <c r="B403">
        <v>2022</v>
      </c>
      <c r="C403">
        <v>10298</v>
      </c>
      <c r="D403">
        <v>1677</v>
      </c>
      <c r="E403">
        <v>27</v>
      </c>
      <c r="F403">
        <v>12581</v>
      </c>
    </row>
    <row r="404" spans="1:6" x14ac:dyDescent="0.3">
      <c r="A404" t="s">
        <v>35</v>
      </c>
      <c r="B404">
        <v>2023</v>
      </c>
      <c r="C404">
        <v>14442</v>
      </c>
      <c r="D404">
        <v>2914</v>
      </c>
      <c r="E404">
        <v>27</v>
      </c>
      <c r="F404">
        <v>14963</v>
      </c>
    </row>
    <row r="405" spans="1:6" x14ac:dyDescent="0.3">
      <c r="A405" t="s">
        <v>35</v>
      </c>
      <c r="B405">
        <v>2024</v>
      </c>
      <c r="C405">
        <v>16536</v>
      </c>
      <c r="D405">
        <v>4001</v>
      </c>
      <c r="E405">
        <v>27</v>
      </c>
      <c r="F405">
        <v>18018</v>
      </c>
    </row>
    <row r="406" spans="1:6" x14ac:dyDescent="0.3">
      <c r="A406" t="s">
        <v>36</v>
      </c>
      <c r="C406">
        <v>136081</v>
      </c>
      <c r="D406">
        <v>11541</v>
      </c>
    </row>
    <row r="407" spans="1:6" x14ac:dyDescent="0.3">
      <c r="A407" t="s">
        <v>36</v>
      </c>
      <c r="B407">
        <v>2013</v>
      </c>
      <c r="C407">
        <v>50974</v>
      </c>
      <c r="D407">
        <v>4367</v>
      </c>
      <c r="E407">
        <v>1268</v>
      </c>
      <c r="F407">
        <v>27526</v>
      </c>
    </row>
    <row r="408" spans="1:6" x14ac:dyDescent="0.3">
      <c r="A408" t="s">
        <v>36</v>
      </c>
      <c r="B408">
        <v>2014</v>
      </c>
      <c r="C408">
        <v>61765</v>
      </c>
      <c r="D408">
        <v>4786</v>
      </c>
      <c r="E408">
        <v>1268</v>
      </c>
      <c r="F408">
        <v>31188</v>
      </c>
    </row>
    <row r="409" spans="1:6" x14ac:dyDescent="0.3">
      <c r="A409" t="s">
        <v>36</v>
      </c>
      <c r="B409">
        <v>2015</v>
      </c>
      <c r="C409">
        <v>60557</v>
      </c>
      <c r="D409">
        <v>3160</v>
      </c>
      <c r="E409">
        <v>1268</v>
      </c>
      <c r="F409">
        <v>32754</v>
      </c>
    </row>
    <row r="410" spans="1:6" x14ac:dyDescent="0.3">
      <c r="A410" t="s">
        <v>36</v>
      </c>
      <c r="B410">
        <v>2016</v>
      </c>
      <c r="C410">
        <v>52053</v>
      </c>
      <c r="D410">
        <v>1874</v>
      </c>
      <c r="E410">
        <v>1268</v>
      </c>
      <c r="F410">
        <v>35135</v>
      </c>
    </row>
    <row r="411" spans="1:6" x14ac:dyDescent="0.3">
      <c r="A411" t="s">
        <v>36</v>
      </c>
      <c r="B411">
        <v>2017</v>
      </c>
      <c r="C411">
        <v>48552</v>
      </c>
      <c r="D411">
        <v>3374</v>
      </c>
      <c r="E411">
        <v>1691</v>
      </c>
      <c r="F411">
        <v>37614</v>
      </c>
    </row>
    <row r="412" spans="1:6" x14ac:dyDescent="0.3">
      <c r="A412" t="s">
        <v>36</v>
      </c>
      <c r="B412">
        <v>2018</v>
      </c>
      <c r="C412">
        <v>54496</v>
      </c>
      <c r="D412">
        <v>4805</v>
      </c>
      <c r="E412">
        <v>2255</v>
      </c>
      <c r="F412">
        <v>39424</v>
      </c>
    </row>
    <row r="413" spans="1:6" x14ac:dyDescent="0.3">
      <c r="A413" t="s">
        <v>36</v>
      </c>
      <c r="B413">
        <v>2019</v>
      </c>
      <c r="C413">
        <v>76190</v>
      </c>
      <c r="D413">
        <v>6553</v>
      </c>
      <c r="E413">
        <v>2255</v>
      </c>
      <c r="F413">
        <v>43749</v>
      </c>
    </row>
    <row r="414" spans="1:6" x14ac:dyDescent="0.3">
      <c r="A414" t="s">
        <v>36</v>
      </c>
      <c r="B414">
        <v>2020</v>
      </c>
      <c r="C414">
        <v>72518</v>
      </c>
      <c r="D414">
        <v>9515</v>
      </c>
      <c r="E414">
        <v>4510</v>
      </c>
      <c r="F414">
        <v>44758</v>
      </c>
    </row>
    <row r="415" spans="1:6" x14ac:dyDescent="0.3">
      <c r="A415" t="s">
        <v>36</v>
      </c>
      <c r="B415">
        <v>2021</v>
      </c>
      <c r="C415">
        <v>57372</v>
      </c>
      <c r="D415">
        <v>6143</v>
      </c>
      <c r="E415">
        <v>4440</v>
      </c>
      <c r="F415">
        <v>48742</v>
      </c>
    </row>
    <row r="416" spans="1:6" x14ac:dyDescent="0.3">
      <c r="A416" t="s">
        <v>36</v>
      </c>
      <c r="B416">
        <v>2022</v>
      </c>
      <c r="C416">
        <v>92770</v>
      </c>
      <c r="D416">
        <v>12304</v>
      </c>
      <c r="E416">
        <v>4440</v>
      </c>
      <c r="F416">
        <v>59674</v>
      </c>
    </row>
    <row r="417" spans="1:6" x14ac:dyDescent="0.3">
      <c r="A417" t="s">
        <v>36</v>
      </c>
      <c r="B417">
        <v>2023</v>
      </c>
      <c r="C417">
        <v>145668</v>
      </c>
      <c r="D417">
        <v>5596</v>
      </c>
      <c r="E417">
        <v>6575</v>
      </c>
      <c r="F417">
        <v>58352</v>
      </c>
    </row>
    <row r="418" spans="1:6" x14ac:dyDescent="0.3">
      <c r="A418" t="s">
        <v>36</v>
      </c>
      <c r="B418">
        <v>2024</v>
      </c>
      <c r="C418">
        <v>133228</v>
      </c>
      <c r="D418">
        <v>9903</v>
      </c>
      <c r="E418">
        <v>6575</v>
      </c>
      <c r="F418">
        <v>70422</v>
      </c>
    </row>
    <row r="419" spans="1:6" x14ac:dyDescent="0.3">
      <c r="A419" t="s">
        <v>37</v>
      </c>
      <c r="C419">
        <v>14152</v>
      </c>
      <c r="D419">
        <v>-453</v>
      </c>
    </row>
    <row r="420" spans="1:6" x14ac:dyDescent="0.3">
      <c r="A420" t="s">
        <v>37</v>
      </c>
      <c r="B420">
        <v>2013</v>
      </c>
      <c r="C420">
        <v>6412</v>
      </c>
      <c r="D420">
        <v>845</v>
      </c>
      <c r="E420">
        <v>34</v>
      </c>
      <c r="F420">
        <v>3279</v>
      </c>
    </row>
    <row r="421" spans="1:6" x14ac:dyDescent="0.3">
      <c r="A421" t="s">
        <v>37</v>
      </c>
      <c r="B421">
        <v>2014</v>
      </c>
      <c r="C421">
        <v>7599</v>
      </c>
      <c r="D421">
        <v>819</v>
      </c>
      <c r="E421">
        <v>34</v>
      </c>
      <c r="F421">
        <v>3741</v>
      </c>
    </row>
    <row r="422" spans="1:6" x14ac:dyDescent="0.3">
      <c r="A422" t="s">
        <v>37</v>
      </c>
      <c r="B422">
        <v>2015</v>
      </c>
      <c r="C422">
        <v>8273</v>
      </c>
      <c r="D422">
        <v>976</v>
      </c>
      <c r="E422">
        <v>34</v>
      </c>
      <c r="F422">
        <v>4277</v>
      </c>
    </row>
    <row r="423" spans="1:6" x14ac:dyDescent="0.3">
      <c r="A423" t="s">
        <v>37</v>
      </c>
      <c r="B423">
        <v>2016</v>
      </c>
      <c r="C423">
        <v>8424</v>
      </c>
      <c r="D423">
        <v>831</v>
      </c>
      <c r="E423">
        <v>34</v>
      </c>
      <c r="F423">
        <v>4233</v>
      </c>
    </row>
    <row r="424" spans="1:6" x14ac:dyDescent="0.3">
      <c r="A424" t="s">
        <v>37</v>
      </c>
      <c r="B424">
        <v>2017</v>
      </c>
      <c r="C424">
        <v>9268</v>
      </c>
      <c r="D424">
        <v>1308</v>
      </c>
      <c r="E424">
        <v>34</v>
      </c>
      <c r="F424">
        <v>5268</v>
      </c>
    </row>
    <row r="425" spans="1:6" x14ac:dyDescent="0.3">
      <c r="A425" t="s">
        <v>37</v>
      </c>
      <c r="B425">
        <v>2018</v>
      </c>
      <c r="C425">
        <v>9847</v>
      </c>
      <c r="D425">
        <v>1634</v>
      </c>
      <c r="E425">
        <v>68</v>
      </c>
      <c r="F425">
        <v>6190</v>
      </c>
    </row>
    <row r="426" spans="1:6" x14ac:dyDescent="0.3">
      <c r="A426" t="s">
        <v>37</v>
      </c>
      <c r="B426">
        <v>2019</v>
      </c>
      <c r="C426">
        <v>10314</v>
      </c>
      <c r="D426">
        <v>2342</v>
      </c>
      <c r="E426">
        <v>102</v>
      </c>
      <c r="F426">
        <v>7165</v>
      </c>
    </row>
    <row r="427" spans="1:6" x14ac:dyDescent="0.3">
      <c r="A427" t="s">
        <v>37</v>
      </c>
      <c r="B427">
        <v>2020</v>
      </c>
      <c r="C427">
        <v>9911</v>
      </c>
      <c r="D427">
        <v>1497</v>
      </c>
      <c r="E427">
        <v>102</v>
      </c>
      <c r="F427">
        <v>7796</v>
      </c>
    </row>
    <row r="428" spans="1:6" x14ac:dyDescent="0.3">
      <c r="A428" t="s">
        <v>37</v>
      </c>
      <c r="B428">
        <v>2021</v>
      </c>
      <c r="C428">
        <v>11029</v>
      </c>
      <c r="D428">
        <v>1721</v>
      </c>
      <c r="E428">
        <v>102</v>
      </c>
      <c r="F428">
        <v>9337</v>
      </c>
    </row>
    <row r="429" spans="1:6" x14ac:dyDescent="0.3">
      <c r="A429" t="s">
        <v>37</v>
      </c>
      <c r="B429">
        <v>2022</v>
      </c>
      <c r="C429">
        <v>12276</v>
      </c>
      <c r="D429">
        <v>1783</v>
      </c>
      <c r="E429">
        <v>102</v>
      </c>
      <c r="F429">
        <v>11454</v>
      </c>
    </row>
    <row r="430" spans="1:6" x14ac:dyDescent="0.3">
      <c r="A430" t="s">
        <v>37</v>
      </c>
      <c r="B430">
        <v>2023</v>
      </c>
      <c r="C430">
        <v>13316</v>
      </c>
      <c r="D430">
        <v>1702</v>
      </c>
      <c r="E430">
        <v>102</v>
      </c>
      <c r="F430">
        <v>13692</v>
      </c>
    </row>
    <row r="431" spans="1:6" x14ac:dyDescent="0.3">
      <c r="A431" t="s">
        <v>37</v>
      </c>
      <c r="B431">
        <v>2024</v>
      </c>
      <c r="C431">
        <v>14096</v>
      </c>
      <c r="D431">
        <v>-561</v>
      </c>
      <c r="E431">
        <v>102</v>
      </c>
      <c r="F431">
        <v>12068</v>
      </c>
    </row>
    <row r="432" spans="1:6" x14ac:dyDescent="0.3">
      <c r="A432" t="s">
        <v>38</v>
      </c>
      <c r="C432">
        <v>137116</v>
      </c>
      <c r="D432">
        <v>8693</v>
      </c>
    </row>
    <row r="433" spans="1:6" x14ac:dyDescent="0.3">
      <c r="A433" t="s">
        <v>38</v>
      </c>
      <c r="B433">
        <v>2013</v>
      </c>
      <c r="C433">
        <v>27909</v>
      </c>
      <c r="D433">
        <v>3778</v>
      </c>
      <c r="E433">
        <v>92</v>
      </c>
      <c r="F433">
        <v>19565</v>
      </c>
    </row>
    <row r="434" spans="1:6" x14ac:dyDescent="0.3">
      <c r="A434" t="s">
        <v>38</v>
      </c>
      <c r="B434">
        <v>2014</v>
      </c>
      <c r="C434">
        <v>28331</v>
      </c>
      <c r="D434">
        <v>2954</v>
      </c>
      <c r="E434">
        <v>92</v>
      </c>
      <c r="F434">
        <v>21523</v>
      </c>
    </row>
    <row r="435" spans="1:6" x14ac:dyDescent="0.3">
      <c r="A435" t="s">
        <v>38</v>
      </c>
      <c r="B435">
        <v>2015</v>
      </c>
      <c r="C435">
        <v>31734</v>
      </c>
      <c r="D435">
        <v>2582</v>
      </c>
      <c r="E435">
        <v>92</v>
      </c>
      <c r="F435">
        <v>23048</v>
      </c>
    </row>
    <row r="436" spans="1:6" x14ac:dyDescent="0.3">
      <c r="A436" t="s">
        <v>38</v>
      </c>
      <c r="B436">
        <v>2016</v>
      </c>
      <c r="C436">
        <v>34487</v>
      </c>
      <c r="D436">
        <v>3455</v>
      </c>
      <c r="E436">
        <v>93</v>
      </c>
      <c r="F436">
        <v>27336</v>
      </c>
    </row>
    <row r="437" spans="1:6" x14ac:dyDescent="0.3">
      <c r="A437" t="s">
        <v>38</v>
      </c>
      <c r="B437">
        <v>2017</v>
      </c>
      <c r="C437">
        <v>36068</v>
      </c>
      <c r="D437">
        <v>4246</v>
      </c>
      <c r="E437">
        <v>93</v>
      </c>
      <c r="F437">
        <v>31294</v>
      </c>
    </row>
    <row r="438" spans="1:6" x14ac:dyDescent="0.3">
      <c r="A438" t="s">
        <v>38</v>
      </c>
      <c r="B438">
        <v>2018</v>
      </c>
      <c r="C438">
        <v>55894</v>
      </c>
      <c r="D438">
        <v>3688</v>
      </c>
      <c r="E438">
        <v>131</v>
      </c>
      <c r="F438">
        <v>57230</v>
      </c>
    </row>
    <row r="439" spans="1:6" x14ac:dyDescent="0.3">
      <c r="A439" t="s">
        <v>38</v>
      </c>
      <c r="B439">
        <v>2019</v>
      </c>
      <c r="C439">
        <v>77200</v>
      </c>
      <c r="D439">
        <v>2745</v>
      </c>
      <c r="E439">
        <v>132</v>
      </c>
      <c r="F439">
        <v>57888</v>
      </c>
    </row>
    <row r="440" spans="1:6" x14ac:dyDescent="0.3">
      <c r="A440" t="s">
        <v>38</v>
      </c>
      <c r="B440">
        <v>2020</v>
      </c>
      <c r="C440">
        <v>68252</v>
      </c>
      <c r="D440">
        <v>6639</v>
      </c>
      <c r="E440">
        <v>132</v>
      </c>
      <c r="F440">
        <v>56501</v>
      </c>
    </row>
    <row r="441" spans="1:6" x14ac:dyDescent="0.3">
      <c r="A441" t="s">
        <v>38</v>
      </c>
      <c r="B441">
        <v>2021</v>
      </c>
      <c r="C441">
        <v>76404</v>
      </c>
      <c r="D441">
        <v>6987</v>
      </c>
      <c r="E441">
        <v>132</v>
      </c>
      <c r="F441">
        <v>65362</v>
      </c>
    </row>
    <row r="442" spans="1:6" x14ac:dyDescent="0.3">
      <c r="A442" t="s">
        <v>38</v>
      </c>
      <c r="B442">
        <v>2022</v>
      </c>
      <c r="C442">
        <v>95701</v>
      </c>
      <c r="D442">
        <v>11206</v>
      </c>
      <c r="E442">
        <v>132</v>
      </c>
      <c r="F442">
        <v>75567</v>
      </c>
    </row>
    <row r="443" spans="1:6" x14ac:dyDescent="0.3">
      <c r="A443" t="s">
        <v>38</v>
      </c>
      <c r="B443">
        <v>2023</v>
      </c>
      <c r="C443">
        <v>117627</v>
      </c>
      <c r="D443">
        <v>11078</v>
      </c>
      <c r="E443">
        <v>132</v>
      </c>
      <c r="F443">
        <v>78610</v>
      </c>
    </row>
    <row r="444" spans="1:6" x14ac:dyDescent="0.3">
      <c r="A444" t="s">
        <v>38</v>
      </c>
      <c r="B444">
        <v>2024</v>
      </c>
      <c r="C444">
        <v>130978</v>
      </c>
      <c r="D444">
        <v>9926</v>
      </c>
      <c r="E444">
        <v>133</v>
      </c>
      <c r="F444">
        <v>88520</v>
      </c>
    </row>
    <row r="445" spans="1:6" x14ac:dyDescent="0.3">
      <c r="A445" t="s">
        <v>39</v>
      </c>
      <c r="C445">
        <v>31154</v>
      </c>
      <c r="D445">
        <v>8472</v>
      </c>
    </row>
    <row r="446" spans="1:6" x14ac:dyDescent="0.3">
      <c r="A446" t="s">
        <v>39</v>
      </c>
      <c r="B446">
        <v>2013</v>
      </c>
      <c r="C446">
        <v>14328</v>
      </c>
      <c r="D446">
        <v>2997</v>
      </c>
    </row>
    <row r="447" spans="1:6" x14ac:dyDescent="0.3">
      <c r="A447" t="s">
        <v>39</v>
      </c>
      <c r="B447">
        <v>2014</v>
      </c>
      <c r="C447">
        <v>15135</v>
      </c>
      <c r="D447">
        <v>2693</v>
      </c>
    </row>
    <row r="448" spans="1:6" x14ac:dyDescent="0.3">
      <c r="A448" t="s">
        <v>39</v>
      </c>
      <c r="B448">
        <v>2015</v>
      </c>
      <c r="C448">
        <v>15730</v>
      </c>
      <c r="D448">
        <v>2388</v>
      </c>
    </row>
    <row r="449" spans="1:6" x14ac:dyDescent="0.3">
      <c r="A449" t="s">
        <v>39</v>
      </c>
      <c r="B449">
        <v>2016</v>
      </c>
      <c r="C449">
        <v>16758</v>
      </c>
      <c r="D449">
        <v>1998</v>
      </c>
      <c r="E449">
        <v>5</v>
      </c>
      <c r="F449">
        <v>115</v>
      </c>
    </row>
    <row r="450" spans="1:6" x14ac:dyDescent="0.3">
      <c r="A450" t="s">
        <v>39</v>
      </c>
      <c r="B450">
        <v>2017</v>
      </c>
      <c r="C450">
        <v>17950</v>
      </c>
      <c r="D450">
        <v>2616</v>
      </c>
      <c r="E450">
        <v>5</v>
      </c>
      <c r="F450">
        <v>128</v>
      </c>
    </row>
    <row r="451" spans="1:6" x14ac:dyDescent="0.3">
      <c r="A451" t="s">
        <v>39</v>
      </c>
      <c r="B451">
        <v>2018</v>
      </c>
      <c r="C451">
        <v>18519</v>
      </c>
      <c r="D451">
        <v>1987</v>
      </c>
      <c r="E451">
        <v>5</v>
      </c>
      <c r="F451">
        <v>125</v>
      </c>
    </row>
    <row r="452" spans="1:6" x14ac:dyDescent="0.3">
      <c r="A452" t="s">
        <v>39</v>
      </c>
      <c r="B452">
        <v>2019</v>
      </c>
      <c r="C452">
        <v>20008</v>
      </c>
      <c r="D452">
        <v>2346</v>
      </c>
      <c r="E452">
        <v>5</v>
      </c>
      <c r="F452">
        <v>128</v>
      </c>
    </row>
    <row r="453" spans="1:6" x14ac:dyDescent="0.3">
      <c r="A453" t="s">
        <v>39</v>
      </c>
      <c r="B453">
        <v>2020</v>
      </c>
      <c r="C453">
        <v>21445</v>
      </c>
      <c r="D453">
        <v>2842</v>
      </c>
      <c r="E453">
        <v>5</v>
      </c>
      <c r="F453">
        <v>133</v>
      </c>
    </row>
    <row r="454" spans="1:6" x14ac:dyDescent="0.3">
      <c r="A454" t="s">
        <v>39</v>
      </c>
      <c r="B454">
        <v>2021</v>
      </c>
      <c r="C454">
        <v>22882</v>
      </c>
      <c r="D454">
        <v>3239</v>
      </c>
      <c r="E454">
        <v>5</v>
      </c>
      <c r="F454">
        <v>139</v>
      </c>
    </row>
    <row r="455" spans="1:6" x14ac:dyDescent="0.3">
      <c r="A455" t="s">
        <v>39</v>
      </c>
      <c r="B455">
        <v>2022</v>
      </c>
      <c r="C455">
        <v>24620</v>
      </c>
      <c r="D455">
        <v>5086</v>
      </c>
      <c r="E455">
        <v>5</v>
      </c>
      <c r="F455">
        <v>148</v>
      </c>
    </row>
    <row r="456" spans="1:6" x14ac:dyDescent="0.3">
      <c r="A456" t="s">
        <v>39</v>
      </c>
      <c r="B456">
        <v>2023</v>
      </c>
      <c r="C456">
        <v>26928</v>
      </c>
      <c r="D456">
        <v>5811</v>
      </c>
      <c r="E456">
        <v>5</v>
      </c>
      <c r="F456">
        <v>172</v>
      </c>
    </row>
    <row r="457" spans="1:6" x14ac:dyDescent="0.3">
      <c r="A457" t="s">
        <v>39</v>
      </c>
      <c r="B457">
        <v>2024</v>
      </c>
      <c r="C457">
        <v>30381</v>
      </c>
      <c r="D457">
        <v>7595</v>
      </c>
      <c r="E457">
        <v>5</v>
      </c>
      <c r="F457">
        <v>194</v>
      </c>
    </row>
    <row r="458" spans="1:6" x14ac:dyDescent="0.3">
      <c r="A458" t="s">
        <v>40</v>
      </c>
      <c r="C458">
        <v>20677</v>
      </c>
      <c r="D458">
        <v>1400</v>
      </c>
    </row>
    <row r="459" spans="1:6" x14ac:dyDescent="0.3">
      <c r="A459" t="s">
        <v>40</v>
      </c>
      <c r="B459">
        <v>2013</v>
      </c>
      <c r="C459">
        <v>7135</v>
      </c>
      <c r="D459">
        <v>581</v>
      </c>
      <c r="E459">
        <v>62</v>
      </c>
      <c r="F459">
        <v>1380</v>
      </c>
    </row>
    <row r="460" spans="1:6" x14ac:dyDescent="0.3">
      <c r="A460" t="s">
        <v>40</v>
      </c>
      <c r="B460">
        <v>2014</v>
      </c>
      <c r="C460">
        <v>8051</v>
      </c>
      <c r="D460">
        <v>446</v>
      </c>
      <c r="E460">
        <v>62</v>
      </c>
      <c r="F460">
        <v>1604</v>
      </c>
    </row>
    <row r="461" spans="1:6" x14ac:dyDescent="0.3">
      <c r="A461" t="s">
        <v>40</v>
      </c>
      <c r="B461">
        <v>2015</v>
      </c>
      <c r="C461">
        <v>8468</v>
      </c>
      <c r="D461">
        <v>385</v>
      </c>
      <c r="E461">
        <v>62</v>
      </c>
      <c r="F461">
        <v>1756</v>
      </c>
    </row>
    <row r="462" spans="1:6" x14ac:dyDescent="0.3">
      <c r="A462" t="s">
        <v>40</v>
      </c>
      <c r="B462">
        <v>2016</v>
      </c>
      <c r="C462">
        <v>7594</v>
      </c>
      <c r="D462">
        <v>1300</v>
      </c>
      <c r="E462">
        <v>62</v>
      </c>
      <c r="F462">
        <v>2965</v>
      </c>
    </row>
    <row r="463" spans="1:6" x14ac:dyDescent="0.3">
      <c r="A463" t="s">
        <v>40</v>
      </c>
      <c r="B463">
        <v>2017</v>
      </c>
      <c r="C463">
        <v>6130</v>
      </c>
      <c r="D463">
        <v>494</v>
      </c>
      <c r="E463">
        <v>62</v>
      </c>
      <c r="F463">
        <v>3214</v>
      </c>
    </row>
    <row r="464" spans="1:6" x14ac:dyDescent="0.3">
      <c r="A464" t="s">
        <v>40</v>
      </c>
      <c r="B464">
        <v>2018</v>
      </c>
      <c r="C464">
        <v>8116</v>
      </c>
      <c r="D464">
        <v>661</v>
      </c>
      <c r="E464">
        <v>63</v>
      </c>
      <c r="F464">
        <v>3667</v>
      </c>
    </row>
    <row r="465" spans="1:6" x14ac:dyDescent="0.3">
      <c r="A465" t="s">
        <v>40</v>
      </c>
      <c r="B465">
        <v>2019</v>
      </c>
      <c r="C465">
        <v>10073</v>
      </c>
      <c r="D465">
        <v>788</v>
      </c>
      <c r="E465">
        <v>63</v>
      </c>
      <c r="F465">
        <v>4135</v>
      </c>
    </row>
    <row r="466" spans="1:6" x14ac:dyDescent="0.3">
      <c r="A466" t="s">
        <v>40</v>
      </c>
      <c r="B466">
        <v>2020</v>
      </c>
      <c r="C466">
        <v>9440</v>
      </c>
      <c r="D466">
        <v>735</v>
      </c>
      <c r="E466">
        <v>63</v>
      </c>
      <c r="F466">
        <v>4249</v>
      </c>
    </row>
    <row r="467" spans="1:6" x14ac:dyDescent="0.3">
      <c r="A467" t="s">
        <v>40</v>
      </c>
      <c r="B467">
        <v>2021</v>
      </c>
      <c r="C467">
        <v>10457</v>
      </c>
      <c r="D467">
        <v>1044</v>
      </c>
      <c r="E467">
        <v>63</v>
      </c>
      <c r="F467">
        <v>5114</v>
      </c>
    </row>
    <row r="468" spans="1:6" x14ac:dyDescent="0.3">
      <c r="A468" t="s">
        <v>40</v>
      </c>
      <c r="B468">
        <v>2022</v>
      </c>
      <c r="C468">
        <v>13938</v>
      </c>
      <c r="D468">
        <v>1196</v>
      </c>
      <c r="E468">
        <v>63</v>
      </c>
      <c r="F468">
        <v>5940</v>
      </c>
    </row>
    <row r="469" spans="1:6" x14ac:dyDescent="0.3">
      <c r="A469" t="s">
        <v>40</v>
      </c>
      <c r="B469">
        <v>2023</v>
      </c>
      <c r="C469">
        <v>16911</v>
      </c>
      <c r="D469">
        <v>1072</v>
      </c>
      <c r="E469">
        <v>63</v>
      </c>
      <c r="F469">
        <v>6563</v>
      </c>
    </row>
    <row r="470" spans="1:6" x14ac:dyDescent="0.3">
      <c r="A470" t="s">
        <v>40</v>
      </c>
      <c r="B470">
        <v>2024</v>
      </c>
      <c r="C470">
        <v>18590</v>
      </c>
      <c r="D470">
        <v>1271</v>
      </c>
      <c r="E470">
        <v>63</v>
      </c>
      <c r="F470">
        <v>7384</v>
      </c>
    </row>
    <row r="471" spans="1:6" x14ac:dyDescent="0.3">
      <c r="A471" t="s">
        <v>41</v>
      </c>
      <c r="C471">
        <v>115308</v>
      </c>
      <c r="D471">
        <v>17085</v>
      </c>
    </row>
    <row r="472" spans="1:6" x14ac:dyDescent="0.3">
      <c r="A472" t="s">
        <v>41</v>
      </c>
      <c r="B472">
        <v>2013</v>
      </c>
      <c r="C472">
        <v>25581</v>
      </c>
      <c r="D472">
        <v>4040</v>
      </c>
      <c r="E472">
        <v>139</v>
      </c>
      <c r="F472">
        <v>13025</v>
      </c>
    </row>
    <row r="473" spans="1:6" x14ac:dyDescent="0.3">
      <c r="A473" t="s">
        <v>41</v>
      </c>
      <c r="B473">
        <v>2014</v>
      </c>
      <c r="C473">
        <v>32144</v>
      </c>
      <c r="D473">
        <v>6528</v>
      </c>
      <c r="E473">
        <v>140</v>
      </c>
      <c r="F473">
        <v>19410</v>
      </c>
    </row>
    <row r="474" spans="1:6" x14ac:dyDescent="0.3">
      <c r="A474" t="s">
        <v>41</v>
      </c>
      <c r="B474">
        <v>2015</v>
      </c>
      <c r="C474">
        <v>36701</v>
      </c>
      <c r="D474">
        <v>7342</v>
      </c>
      <c r="E474">
        <v>281</v>
      </c>
      <c r="F474">
        <v>23943</v>
      </c>
    </row>
    <row r="475" spans="1:6" x14ac:dyDescent="0.3">
      <c r="A475" t="s">
        <v>41</v>
      </c>
      <c r="B475">
        <v>2016</v>
      </c>
      <c r="C475">
        <v>31136</v>
      </c>
      <c r="D475">
        <v>5602</v>
      </c>
      <c r="E475">
        <v>282</v>
      </c>
      <c r="F475">
        <v>27109</v>
      </c>
    </row>
    <row r="476" spans="1:6" x14ac:dyDescent="0.3">
      <c r="A476" t="s">
        <v>41</v>
      </c>
      <c r="B476">
        <v>2017</v>
      </c>
      <c r="C476">
        <v>47568</v>
      </c>
      <c r="D476">
        <v>8606</v>
      </c>
      <c r="E476">
        <v>285</v>
      </c>
      <c r="F476">
        <v>32664</v>
      </c>
    </row>
    <row r="477" spans="1:6" x14ac:dyDescent="0.3">
      <c r="A477" t="s">
        <v>41</v>
      </c>
      <c r="B477">
        <v>2018</v>
      </c>
      <c r="C477">
        <v>50569</v>
      </c>
      <c r="D477">
        <v>8722</v>
      </c>
      <c r="E477">
        <v>278</v>
      </c>
      <c r="F477">
        <v>36108</v>
      </c>
    </row>
    <row r="478" spans="1:6" x14ac:dyDescent="0.3">
      <c r="A478" t="s">
        <v>41</v>
      </c>
      <c r="B478">
        <v>2019</v>
      </c>
      <c r="C478">
        <v>60427</v>
      </c>
      <c r="D478">
        <v>10120</v>
      </c>
      <c r="E478">
        <v>271</v>
      </c>
      <c r="F478">
        <v>41095</v>
      </c>
    </row>
    <row r="479" spans="1:6" x14ac:dyDescent="0.3">
      <c r="A479" t="s">
        <v>41</v>
      </c>
      <c r="B479">
        <v>2020</v>
      </c>
      <c r="C479">
        <v>70676</v>
      </c>
      <c r="D479">
        <v>11057</v>
      </c>
      <c r="E479">
        <v>543</v>
      </c>
      <c r="F479">
        <v>50724</v>
      </c>
    </row>
    <row r="480" spans="1:6" x14ac:dyDescent="0.3">
      <c r="A480" t="s">
        <v>41</v>
      </c>
      <c r="B480">
        <v>2021</v>
      </c>
      <c r="C480">
        <v>75379</v>
      </c>
      <c r="D480">
        <v>11169</v>
      </c>
      <c r="E480">
        <v>543</v>
      </c>
      <c r="F480">
        <v>59370</v>
      </c>
    </row>
    <row r="481" spans="1:6" x14ac:dyDescent="0.3">
      <c r="A481" t="s">
        <v>41</v>
      </c>
      <c r="B481">
        <v>2022</v>
      </c>
      <c r="C481">
        <v>85651</v>
      </c>
      <c r="D481">
        <v>13523</v>
      </c>
      <c r="E481">
        <v>543</v>
      </c>
      <c r="F481">
        <v>61371</v>
      </c>
    </row>
    <row r="482" spans="1:6" x14ac:dyDescent="0.3">
      <c r="A482" t="s">
        <v>41</v>
      </c>
      <c r="B482">
        <v>2023</v>
      </c>
      <c r="C482">
        <v>101456</v>
      </c>
      <c r="D482">
        <v>14845</v>
      </c>
      <c r="E482">
        <v>543</v>
      </c>
      <c r="F482">
        <v>64862</v>
      </c>
    </row>
    <row r="483" spans="1:6" x14ac:dyDescent="0.3">
      <c r="A483" t="s">
        <v>41</v>
      </c>
      <c r="B483">
        <v>2024</v>
      </c>
      <c r="C483">
        <v>109913</v>
      </c>
      <c r="D483">
        <v>15710</v>
      </c>
      <c r="E483">
        <v>543</v>
      </c>
      <c r="F483">
        <v>67720</v>
      </c>
    </row>
    <row r="484" spans="1:6" x14ac:dyDescent="0.3">
      <c r="A484" t="s">
        <v>42</v>
      </c>
      <c r="C484">
        <v>329022</v>
      </c>
      <c r="D484">
        <v>72168</v>
      </c>
    </row>
    <row r="485" spans="1:6" x14ac:dyDescent="0.3">
      <c r="A485" t="s">
        <v>42</v>
      </c>
      <c r="B485">
        <v>2013</v>
      </c>
      <c r="C485">
        <v>35861</v>
      </c>
      <c r="D485">
        <v>6903</v>
      </c>
      <c r="E485">
        <v>476</v>
      </c>
      <c r="F485">
        <v>36167</v>
      </c>
    </row>
    <row r="486" spans="1:6" x14ac:dyDescent="0.3">
      <c r="A486" t="s">
        <v>42</v>
      </c>
      <c r="B486">
        <v>2014</v>
      </c>
      <c r="C486">
        <v>42555</v>
      </c>
      <c r="D486">
        <v>8768</v>
      </c>
      <c r="E486">
        <v>480</v>
      </c>
      <c r="F486">
        <v>43687</v>
      </c>
    </row>
    <row r="487" spans="1:6" x14ac:dyDescent="0.3">
      <c r="A487" t="s">
        <v>42</v>
      </c>
      <c r="B487">
        <v>2015</v>
      </c>
      <c r="C487">
        <v>50666</v>
      </c>
      <c r="D487">
        <v>10703</v>
      </c>
      <c r="E487">
        <v>501</v>
      </c>
      <c r="F487">
        <v>62653</v>
      </c>
    </row>
    <row r="488" spans="1:6" x14ac:dyDescent="0.3">
      <c r="A488" t="s">
        <v>42</v>
      </c>
      <c r="B488">
        <v>2016</v>
      </c>
      <c r="C488">
        <v>63162</v>
      </c>
      <c r="D488">
        <v>12821</v>
      </c>
      <c r="E488">
        <v>506</v>
      </c>
      <c r="F488">
        <v>73798</v>
      </c>
    </row>
    <row r="489" spans="1:6" x14ac:dyDescent="0.3">
      <c r="A489" t="s">
        <v>42</v>
      </c>
      <c r="B489">
        <v>2017</v>
      </c>
      <c r="C489">
        <v>73271</v>
      </c>
      <c r="D489">
        <v>15317</v>
      </c>
      <c r="E489">
        <v>513</v>
      </c>
      <c r="F489">
        <v>91281</v>
      </c>
    </row>
    <row r="490" spans="1:6" x14ac:dyDescent="0.3">
      <c r="A490" t="s">
        <v>42</v>
      </c>
      <c r="B490">
        <v>2018</v>
      </c>
      <c r="C490">
        <v>85288</v>
      </c>
      <c r="D490">
        <v>18561</v>
      </c>
      <c r="E490">
        <v>519</v>
      </c>
      <c r="F490">
        <v>109080</v>
      </c>
    </row>
    <row r="491" spans="1:6" x14ac:dyDescent="0.3">
      <c r="A491" t="s">
        <v>42</v>
      </c>
      <c r="B491">
        <v>2019</v>
      </c>
      <c r="C491">
        <v>105161</v>
      </c>
      <c r="D491">
        <v>22446</v>
      </c>
      <c r="E491">
        <v>545</v>
      </c>
      <c r="F491">
        <v>153128</v>
      </c>
    </row>
    <row r="492" spans="1:6" x14ac:dyDescent="0.3">
      <c r="A492" t="s">
        <v>42</v>
      </c>
      <c r="B492">
        <v>2020</v>
      </c>
      <c r="C492">
        <v>122189</v>
      </c>
      <c r="D492">
        <v>27296</v>
      </c>
      <c r="E492">
        <v>548</v>
      </c>
      <c r="F492">
        <v>175810</v>
      </c>
    </row>
    <row r="493" spans="1:6" x14ac:dyDescent="0.3">
      <c r="A493" t="s">
        <v>42</v>
      </c>
      <c r="B493">
        <v>2021</v>
      </c>
      <c r="C493">
        <v>128552</v>
      </c>
      <c r="D493">
        <v>31857</v>
      </c>
      <c r="E493">
        <v>551</v>
      </c>
      <c r="F493">
        <v>209259</v>
      </c>
    </row>
    <row r="494" spans="1:6" x14ac:dyDescent="0.3">
      <c r="A494" t="s">
        <v>42</v>
      </c>
      <c r="B494">
        <v>2022</v>
      </c>
      <c r="C494">
        <v>135936</v>
      </c>
      <c r="D494">
        <v>38151</v>
      </c>
      <c r="E494">
        <v>555</v>
      </c>
      <c r="F494">
        <v>246772</v>
      </c>
    </row>
    <row r="495" spans="1:6" x14ac:dyDescent="0.3">
      <c r="A495" t="s">
        <v>42</v>
      </c>
      <c r="B495">
        <v>2023</v>
      </c>
      <c r="C495">
        <v>170754</v>
      </c>
      <c r="D495">
        <v>46149</v>
      </c>
      <c r="E495">
        <v>558</v>
      </c>
      <c r="F495">
        <v>288880</v>
      </c>
    </row>
    <row r="496" spans="1:6" x14ac:dyDescent="0.3">
      <c r="A496" t="s">
        <v>42</v>
      </c>
      <c r="B496">
        <v>2024</v>
      </c>
      <c r="C496">
        <v>283649</v>
      </c>
      <c r="D496">
        <v>65446</v>
      </c>
      <c r="E496">
        <v>760</v>
      </c>
      <c r="F496">
        <v>455636</v>
      </c>
    </row>
    <row r="497" spans="1:6" x14ac:dyDescent="0.3">
      <c r="A497" t="s">
        <v>43</v>
      </c>
      <c r="C497">
        <v>100772</v>
      </c>
      <c r="D497">
        <v>1747</v>
      </c>
    </row>
    <row r="498" spans="1:6" x14ac:dyDescent="0.3">
      <c r="A498" t="s">
        <v>43</v>
      </c>
      <c r="B498">
        <v>2013</v>
      </c>
      <c r="C498">
        <v>14060</v>
      </c>
      <c r="D498">
        <v>447</v>
      </c>
      <c r="E498">
        <v>1995</v>
      </c>
      <c r="F498">
        <v>-658</v>
      </c>
    </row>
    <row r="499" spans="1:6" x14ac:dyDescent="0.3">
      <c r="A499" t="s">
        <v>43</v>
      </c>
      <c r="B499">
        <v>2014</v>
      </c>
      <c r="C499">
        <v>17166</v>
      </c>
      <c r="D499">
        <v>725</v>
      </c>
      <c r="E499">
        <v>1995</v>
      </c>
      <c r="F499">
        <v>-67</v>
      </c>
    </row>
    <row r="500" spans="1:6" x14ac:dyDescent="0.3">
      <c r="A500" t="s">
        <v>43</v>
      </c>
      <c r="B500">
        <v>2015</v>
      </c>
      <c r="C500">
        <v>27215</v>
      </c>
      <c r="D500">
        <v>786</v>
      </c>
      <c r="E500">
        <v>1995</v>
      </c>
      <c r="F500">
        <v>546</v>
      </c>
    </row>
    <row r="501" spans="1:6" x14ac:dyDescent="0.3">
      <c r="A501" t="s">
        <v>43</v>
      </c>
      <c r="B501">
        <v>2016</v>
      </c>
      <c r="C501">
        <v>18141</v>
      </c>
      <c r="D501">
        <v>817</v>
      </c>
      <c r="E501">
        <v>1995</v>
      </c>
      <c r="F501">
        <v>1108</v>
      </c>
    </row>
    <row r="502" spans="1:6" x14ac:dyDescent="0.3">
      <c r="A502" t="s">
        <v>43</v>
      </c>
      <c r="B502">
        <v>2017</v>
      </c>
      <c r="C502">
        <v>30647</v>
      </c>
      <c r="D502">
        <v>887</v>
      </c>
      <c r="E502">
        <v>1998</v>
      </c>
      <c r="F502">
        <v>1828</v>
      </c>
    </row>
    <row r="503" spans="1:6" x14ac:dyDescent="0.3">
      <c r="A503" t="s">
        <v>43</v>
      </c>
      <c r="B503">
        <v>2018</v>
      </c>
      <c r="C503">
        <v>32260</v>
      </c>
      <c r="D503">
        <v>1107</v>
      </c>
      <c r="E503">
        <v>2012</v>
      </c>
      <c r="F503">
        <v>2693</v>
      </c>
    </row>
    <row r="504" spans="1:6" x14ac:dyDescent="0.3">
      <c r="A504" t="s">
        <v>43</v>
      </c>
      <c r="B504">
        <v>2019</v>
      </c>
      <c r="C504">
        <v>38855</v>
      </c>
      <c r="D504">
        <v>1278</v>
      </c>
      <c r="E504">
        <v>2017</v>
      </c>
      <c r="F504">
        <v>3625</v>
      </c>
    </row>
    <row r="505" spans="1:6" x14ac:dyDescent="0.3">
      <c r="A505" t="s">
        <v>43</v>
      </c>
      <c r="B505">
        <v>2020</v>
      </c>
      <c r="C505">
        <v>29380</v>
      </c>
      <c r="D505">
        <v>1297</v>
      </c>
      <c r="E505">
        <v>2019</v>
      </c>
      <c r="F505">
        <v>4788</v>
      </c>
    </row>
    <row r="506" spans="1:6" x14ac:dyDescent="0.3">
      <c r="A506" t="s">
        <v>43</v>
      </c>
      <c r="B506">
        <v>2021</v>
      </c>
      <c r="C506">
        <v>71528</v>
      </c>
      <c r="D506">
        <v>1361</v>
      </c>
      <c r="E506">
        <v>2021</v>
      </c>
      <c r="F506">
        <v>6619</v>
      </c>
    </row>
    <row r="507" spans="1:6" x14ac:dyDescent="0.3">
      <c r="A507" t="s">
        <v>43</v>
      </c>
      <c r="B507">
        <v>2022</v>
      </c>
      <c r="C507">
        <v>67126</v>
      </c>
      <c r="D507">
        <v>1327</v>
      </c>
      <c r="E507">
        <v>2113</v>
      </c>
      <c r="F507">
        <v>13501</v>
      </c>
    </row>
    <row r="508" spans="1:6" x14ac:dyDescent="0.3">
      <c r="A508" t="s">
        <v>43</v>
      </c>
      <c r="B508">
        <v>2023</v>
      </c>
      <c r="C508">
        <v>70207</v>
      </c>
      <c r="D508">
        <v>1368</v>
      </c>
      <c r="E508">
        <v>2149</v>
      </c>
      <c r="F508">
        <v>10844</v>
      </c>
    </row>
    <row r="509" spans="1:6" x14ac:dyDescent="0.3">
      <c r="A509" t="s">
        <v>43</v>
      </c>
      <c r="B509">
        <v>2024</v>
      </c>
      <c r="C509">
        <v>101482</v>
      </c>
      <c r="D509">
        <v>1574</v>
      </c>
      <c r="E509">
        <v>2151</v>
      </c>
      <c r="F509">
        <v>12515</v>
      </c>
    </row>
    <row r="510" spans="1:6" x14ac:dyDescent="0.3">
      <c r="A510" t="s">
        <v>44</v>
      </c>
      <c r="C510">
        <v>40098</v>
      </c>
      <c r="D510">
        <v>4133</v>
      </c>
    </row>
    <row r="511" spans="1:6" x14ac:dyDescent="0.3">
      <c r="A511" t="s">
        <v>44</v>
      </c>
      <c r="B511">
        <v>2014</v>
      </c>
      <c r="C511">
        <v>25275</v>
      </c>
      <c r="D511">
        <v>2102</v>
      </c>
      <c r="E511">
        <v>40</v>
      </c>
      <c r="F511">
        <v>5583</v>
      </c>
    </row>
    <row r="512" spans="1:6" x14ac:dyDescent="0.3">
      <c r="A512" t="s">
        <v>44</v>
      </c>
      <c r="B512">
        <v>2015</v>
      </c>
      <c r="C512">
        <v>27538</v>
      </c>
      <c r="D512">
        <v>2364</v>
      </c>
      <c r="E512">
        <v>40</v>
      </c>
      <c r="F512">
        <v>6500</v>
      </c>
    </row>
    <row r="513" spans="1:6" x14ac:dyDescent="0.3">
      <c r="A513" t="s">
        <v>44</v>
      </c>
      <c r="B513">
        <v>2016</v>
      </c>
      <c r="C513">
        <v>28457</v>
      </c>
      <c r="D513">
        <v>3112</v>
      </c>
      <c r="E513">
        <v>40</v>
      </c>
      <c r="F513">
        <v>8794</v>
      </c>
    </row>
    <row r="514" spans="1:6" x14ac:dyDescent="0.3">
      <c r="A514" t="s">
        <v>44</v>
      </c>
      <c r="B514">
        <v>2017</v>
      </c>
      <c r="C514">
        <v>28610</v>
      </c>
      <c r="D514">
        <v>3546</v>
      </c>
      <c r="E514">
        <v>40</v>
      </c>
      <c r="F514">
        <v>10276</v>
      </c>
    </row>
    <row r="515" spans="1:6" x14ac:dyDescent="0.3">
      <c r="A515" t="s">
        <v>44</v>
      </c>
      <c r="B515">
        <v>2018</v>
      </c>
      <c r="C515">
        <v>32458</v>
      </c>
      <c r="D515">
        <v>3722</v>
      </c>
      <c r="E515">
        <v>40</v>
      </c>
      <c r="F515">
        <v>11932</v>
      </c>
    </row>
    <row r="516" spans="1:6" x14ac:dyDescent="0.3">
      <c r="A516" t="s">
        <v>44</v>
      </c>
      <c r="B516">
        <v>2019</v>
      </c>
      <c r="C516">
        <v>33971</v>
      </c>
      <c r="D516">
        <v>3466</v>
      </c>
      <c r="E516">
        <v>40</v>
      </c>
      <c r="F516">
        <v>13080</v>
      </c>
    </row>
    <row r="517" spans="1:6" x14ac:dyDescent="0.3">
      <c r="A517" t="s">
        <v>44</v>
      </c>
      <c r="B517">
        <v>2020</v>
      </c>
      <c r="C517">
        <v>29254</v>
      </c>
      <c r="D517">
        <v>3659</v>
      </c>
      <c r="E517">
        <v>40</v>
      </c>
      <c r="F517">
        <v>14366</v>
      </c>
    </row>
    <row r="518" spans="1:6" x14ac:dyDescent="0.3">
      <c r="A518" t="s">
        <v>44</v>
      </c>
      <c r="B518">
        <v>2021</v>
      </c>
      <c r="C518">
        <v>30959</v>
      </c>
      <c r="D518">
        <v>2936</v>
      </c>
      <c r="E518">
        <v>40</v>
      </c>
      <c r="F518">
        <v>15376</v>
      </c>
    </row>
    <row r="519" spans="1:6" x14ac:dyDescent="0.3">
      <c r="A519" t="s">
        <v>44</v>
      </c>
      <c r="B519">
        <v>2022</v>
      </c>
      <c r="C519">
        <v>29551</v>
      </c>
      <c r="D519">
        <v>2329</v>
      </c>
      <c r="E519">
        <v>40</v>
      </c>
      <c r="F519">
        <v>15807</v>
      </c>
    </row>
    <row r="520" spans="1:6" x14ac:dyDescent="0.3">
      <c r="A520" t="s">
        <v>44</v>
      </c>
      <c r="B520">
        <v>2023</v>
      </c>
      <c r="C520">
        <v>34158</v>
      </c>
      <c r="D520">
        <v>2800</v>
      </c>
      <c r="E520">
        <v>40</v>
      </c>
      <c r="F520">
        <v>16616</v>
      </c>
    </row>
    <row r="521" spans="1:6" x14ac:dyDescent="0.3">
      <c r="A521" t="s">
        <v>44</v>
      </c>
      <c r="B521">
        <v>2024</v>
      </c>
      <c r="C521">
        <v>37789</v>
      </c>
      <c r="D521">
        <v>3742</v>
      </c>
      <c r="E521">
        <v>40</v>
      </c>
      <c r="F521">
        <v>17659</v>
      </c>
    </row>
    <row r="522" spans="1:6" x14ac:dyDescent="0.3">
      <c r="A522" t="s">
        <v>45</v>
      </c>
      <c r="C522">
        <v>224018</v>
      </c>
      <c r="D522">
        <v>12488</v>
      </c>
    </row>
    <row r="523" spans="1:6" x14ac:dyDescent="0.3">
      <c r="A523" t="s">
        <v>45</v>
      </c>
      <c r="B523">
        <v>2013</v>
      </c>
      <c r="C523">
        <v>80193</v>
      </c>
      <c r="D523">
        <v>3007</v>
      </c>
      <c r="E523">
        <v>191</v>
      </c>
      <c r="F523">
        <v>35139</v>
      </c>
    </row>
    <row r="524" spans="1:6" x14ac:dyDescent="0.3">
      <c r="A524" t="s">
        <v>45</v>
      </c>
      <c r="B524">
        <v>2014</v>
      </c>
      <c r="C524">
        <v>87695</v>
      </c>
      <c r="D524">
        <v>2195</v>
      </c>
      <c r="E524">
        <v>206</v>
      </c>
      <c r="F524">
        <v>40398</v>
      </c>
    </row>
    <row r="525" spans="1:6" x14ac:dyDescent="0.3">
      <c r="A525" t="s">
        <v>45</v>
      </c>
      <c r="B525">
        <v>2015</v>
      </c>
      <c r="C525">
        <v>104281</v>
      </c>
      <c r="D525">
        <v>259</v>
      </c>
      <c r="E525">
        <v>207</v>
      </c>
      <c r="F525">
        <v>38122</v>
      </c>
    </row>
    <row r="526" spans="1:6" x14ac:dyDescent="0.3">
      <c r="A526" t="s">
        <v>45</v>
      </c>
      <c r="B526">
        <v>2016</v>
      </c>
      <c r="C526">
        <v>98759</v>
      </c>
      <c r="D526">
        <v>-702</v>
      </c>
      <c r="E526">
        <v>207</v>
      </c>
      <c r="F526">
        <v>40402</v>
      </c>
    </row>
    <row r="527" spans="1:6" x14ac:dyDescent="0.3">
      <c r="A527" t="s">
        <v>45</v>
      </c>
      <c r="B527">
        <v>2017</v>
      </c>
      <c r="C527">
        <v>100184</v>
      </c>
      <c r="D527">
        <v>1882</v>
      </c>
      <c r="E527">
        <v>223</v>
      </c>
      <c r="F527">
        <v>45836</v>
      </c>
    </row>
    <row r="528" spans="1:6" x14ac:dyDescent="0.3">
      <c r="A528" t="s">
        <v>45</v>
      </c>
      <c r="B528">
        <v>2018</v>
      </c>
      <c r="C528">
        <v>115183</v>
      </c>
      <c r="D528">
        <v>6083</v>
      </c>
      <c r="E528">
        <v>223</v>
      </c>
      <c r="F528">
        <v>54629</v>
      </c>
    </row>
    <row r="529" spans="1:6" x14ac:dyDescent="0.3">
      <c r="A529" t="s">
        <v>45</v>
      </c>
      <c r="B529">
        <v>2019</v>
      </c>
      <c r="C529">
        <v>130542</v>
      </c>
      <c r="D529">
        <v>5495</v>
      </c>
      <c r="E529">
        <v>222</v>
      </c>
      <c r="F529">
        <v>57279</v>
      </c>
    </row>
    <row r="530" spans="1:6" x14ac:dyDescent="0.3">
      <c r="A530" t="s">
        <v>45</v>
      </c>
      <c r="B530">
        <v>2020</v>
      </c>
      <c r="C530">
        <v>118144</v>
      </c>
      <c r="D530">
        <v>3767</v>
      </c>
      <c r="E530">
        <v>222</v>
      </c>
      <c r="F530">
        <v>58095</v>
      </c>
    </row>
    <row r="531" spans="1:6" x14ac:dyDescent="0.3">
      <c r="A531" t="s">
        <v>45</v>
      </c>
      <c r="B531">
        <v>2021</v>
      </c>
      <c r="C531">
        <v>132008</v>
      </c>
      <c r="D531">
        <v>3483</v>
      </c>
      <c r="E531">
        <v>222</v>
      </c>
      <c r="F531">
        <v>66311</v>
      </c>
    </row>
    <row r="532" spans="1:6" x14ac:dyDescent="0.3">
      <c r="A532" t="s">
        <v>45</v>
      </c>
      <c r="B532">
        <v>2022</v>
      </c>
      <c r="C532">
        <v>195059</v>
      </c>
      <c r="D532">
        <v>13730</v>
      </c>
      <c r="E532">
        <v>222</v>
      </c>
      <c r="F532">
        <v>77969</v>
      </c>
    </row>
    <row r="533" spans="1:6" x14ac:dyDescent="0.3">
      <c r="A533" t="s">
        <v>45</v>
      </c>
      <c r="B533">
        <v>2023</v>
      </c>
      <c r="C533">
        <v>223202</v>
      </c>
      <c r="D533">
        <v>10097</v>
      </c>
      <c r="E533">
        <v>222</v>
      </c>
      <c r="F533">
        <v>94584</v>
      </c>
    </row>
    <row r="534" spans="1:6" x14ac:dyDescent="0.3">
      <c r="A534" t="s">
        <v>45</v>
      </c>
      <c r="B534">
        <v>2024</v>
      </c>
      <c r="C534">
        <v>215962</v>
      </c>
      <c r="D534">
        <v>10155</v>
      </c>
      <c r="E534">
        <v>222</v>
      </c>
      <c r="F534">
        <v>105924</v>
      </c>
    </row>
    <row r="535" spans="1:6" x14ac:dyDescent="0.3">
      <c r="A535" t="s">
        <v>46</v>
      </c>
      <c r="C535">
        <v>62661</v>
      </c>
      <c r="D535">
        <v>10757</v>
      </c>
    </row>
    <row r="536" spans="1:6" x14ac:dyDescent="0.3">
      <c r="A536" t="s">
        <v>46</v>
      </c>
      <c r="B536">
        <v>2013</v>
      </c>
      <c r="C536">
        <v>27004</v>
      </c>
      <c r="D536">
        <v>3839</v>
      </c>
      <c r="E536">
        <v>216</v>
      </c>
      <c r="F536">
        <v>2649</v>
      </c>
    </row>
    <row r="537" spans="1:6" x14ac:dyDescent="0.3">
      <c r="A537" t="s">
        <v>46</v>
      </c>
      <c r="B537">
        <v>2014</v>
      </c>
      <c r="C537">
        <v>29234</v>
      </c>
      <c r="D537">
        <v>3956</v>
      </c>
      <c r="E537">
        <v>216</v>
      </c>
      <c r="F537">
        <v>3321</v>
      </c>
    </row>
    <row r="538" spans="1:6" x14ac:dyDescent="0.3">
      <c r="A538" t="s">
        <v>46</v>
      </c>
      <c r="B538">
        <v>2015</v>
      </c>
      <c r="C538">
        <v>31972</v>
      </c>
      <c r="D538">
        <v>4376</v>
      </c>
      <c r="E538">
        <v>216</v>
      </c>
      <c r="F538">
        <v>3811</v>
      </c>
    </row>
    <row r="539" spans="1:6" x14ac:dyDescent="0.3">
      <c r="A539" t="s">
        <v>46</v>
      </c>
      <c r="B539">
        <v>2016</v>
      </c>
      <c r="C539">
        <v>32186</v>
      </c>
      <c r="D539">
        <v>4151</v>
      </c>
      <c r="E539">
        <v>216</v>
      </c>
      <c r="F539">
        <v>6357</v>
      </c>
    </row>
    <row r="540" spans="1:6" x14ac:dyDescent="0.3">
      <c r="A540" t="s">
        <v>46</v>
      </c>
      <c r="B540">
        <v>2017</v>
      </c>
      <c r="C540">
        <v>33162</v>
      </c>
      <c r="D540">
        <v>4490</v>
      </c>
      <c r="E540">
        <v>216</v>
      </c>
      <c r="F540">
        <v>6528</v>
      </c>
    </row>
    <row r="541" spans="1:6" x14ac:dyDescent="0.3">
      <c r="A541" t="s">
        <v>46</v>
      </c>
      <c r="B541">
        <v>2018</v>
      </c>
      <c r="C541">
        <v>35545</v>
      </c>
      <c r="D541">
        <v>5227</v>
      </c>
      <c r="E541">
        <v>216</v>
      </c>
      <c r="F541">
        <v>7065</v>
      </c>
    </row>
    <row r="542" spans="1:6" x14ac:dyDescent="0.3">
      <c r="A542" t="s">
        <v>46</v>
      </c>
      <c r="B542">
        <v>2019</v>
      </c>
      <c r="C542">
        <v>39310</v>
      </c>
      <c r="D542">
        <v>6060</v>
      </c>
      <c r="E542">
        <v>216</v>
      </c>
      <c r="F542">
        <v>7651</v>
      </c>
    </row>
    <row r="543" spans="1:6" x14ac:dyDescent="0.3">
      <c r="A543" t="s">
        <v>46</v>
      </c>
      <c r="B543">
        <v>2020</v>
      </c>
      <c r="C543">
        <v>39783</v>
      </c>
      <c r="D543">
        <v>6756</v>
      </c>
      <c r="E543">
        <v>216</v>
      </c>
      <c r="F543">
        <v>8013</v>
      </c>
    </row>
    <row r="544" spans="1:6" x14ac:dyDescent="0.3">
      <c r="A544" t="s">
        <v>46</v>
      </c>
      <c r="B544">
        <v>2021</v>
      </c>
      <c r="C544">
        <v>47028</v>
      </c>
      <c r="D544">
        <v>7999</v>
      </c>
      <c r="E544">
        <v>235</v>
      </c>
      <c r="F544">
        <v>47439</v>
      </c>
    </row>
    <row r="545" spans="1:6" x14ac:dyDescent="0.3">
      <c r="A545" t="s">
        <v>46</v>
      </c>
      <c r="B545">
        <v>2022</v>
      </c>
      <c r="C545">
        <v>52446</v>
      </c>
      <c r="D545">
        <v>8892</v>
      </c>
      <c r="E545">
        <v>235</v>
      </c>
      <c r="F545">
        <v>48826</v>
      </c>
    </row>
    <row r="546" spans="1:6" x14ac:dyDescent="0.3">
      <c r="A546" t="s">
        <v>46</v>
      </c>
      <c r="B546">
        <v>2023</v>
      </c>
      <c r="C546">
        <v>60580</v>
      </c>
      <c r="D546">
        <v>10143</v>
      </c>
      <c r="E546">
        <v>235</v>
      </c>
      <c r="F546">
        <v>50069</v>
      </c>
    </row>
    <row r="547" spans="1:6" x14ac:dyDescent="0.3">
      <c r="A547" t="s">
        <v>46</v>
      </c>
      <c r="B547">
        <v>2024</v>
      </c>
      <c r="C547">
        <v>61896</v>
      </c>
      <c r="D547">
        <v>10282</v>
      </c>
      <c r="E547">
        <v>235</v>
      </c>
      <c r="F547">
        <v>50541</v>
      </c>
    </row>
    <row r="548" spans="1:6" x14ac:dyDescent="0.3">
      <c r="A548" t="s">
        <v>47</v>
      </c>
      <c r="C548">
        <v>180551</v>
      </c>
      <c r="D548">
        <v>52416</v>
      </c>
    </row>
    <row r="549" spans="1:6" x14ac:dyDescent="0.3">
      <c r="A549" t="s">
        <v>47</v>
      </c>
      <c r="B549">
        <v>2013</v>
      </c>
      <c r="C549">
        <v>44885</v>
      </c>
      <c r="D549">
        <v>10130</v>
      </c>
      <c r="E549">
        <v>1154</v>
      </c>
      <c r="F549">
        <v>67609</v>
      </c>
    </row>
    <row r="550" spans="1:6" x14ac:dyDescent="0.3">
      <c r="A550" t="s">
        <v>47</v>
      </c>
      <c r="B550">
        <v>2014</v>
      </c>
      <c r="C550">
        <v>49479</v>
      </c>
      <c r="D550">
        <v>11677</v>
      </c>
      <c r="E550">
        <v>1155</v>
      </c>
      <c r="F550">
        <v>75275</v>
      </c>
    </row>
    <row r="551" spans="1:6" x14ac:dyDescent="0.3">
      <c r="A551" t="s">
        <v>47</v>
      </c>
      <c r="B551">
        <v>2015</v>
      </c>
      <c r="C551">
        <v>54964</v>
      </c>
      <c r="D551">
        <v>12942</v>
      </c>
      <c r="E551">
        <v>1160</v>
      </c>
      <c r="F551">
        <v>83545</v>
      </c>
    </row>
    <row r="552" spans="1:6" x14ac:dyDescent="0.3">
      <c r="A552" t="s">
        <v>47</v>
      </c>
      <c r="B552">
        <v>2016</v>
      </c>
      <c r="C552">
        <v>59294</v>
      </c>
      <c r="D552">
        <v>10927</v>
      </c>
      <c r="E552">
        <v>1163</v>
      </c>
      <c r="F552">
        <v>92948</v>
      </c>
    </row>
    <row r="553" spans="1:6" x14ac:dyDescent="0.3">
      <c r="A553" t="s">
        <v>47</v>
      </c>
      <c r="B553">
        <v>2017</v>
      </c>
      <c r="C553">
        <v>60940</v>
      </c>
      <c r="D553">
        <v>11340</v>
      </c>
      <c r="E553">
        <v>1165</v>
      </c>
      <c r="F553">
        <v>103467</v>
      </c>
    </row>
    <row r="554" spans="1:6" x14ac:dyDescent="0.3">
      <c r="A554" t="s">
        <v>47</v>
      </c>
      <c r="B554">
        <v>2018</v>
      </c>
      <c r="C554">
        <v>62162</v>
      </c>
      <c r="D554">
        <v>9100</v>
      </c>
      <c r="E554">
        <v>1286</v>
      </c>
      <c r="F554">
        <v>109344</v>
      </c>
    </row>
    <row r="555" spans="1:6" x14ac:dyDescent="0.3">
      <c r="A555" t="s">
        <v>47</v>
      </c>
      <c r="B555">
        <v>2019</v>
      </c>
      <c r="C555">
        <v>71982</v>
      </c>
      <c r="D555">
        <v>5689</v>
      </c>
      <c r="E555">
        <v>1289</v>
      </c>
      <c r="F555">
        <v>112964</v>
      </c>
    </row>
    <row r="556" spans="1:6" x14ac:dyDescent="0.3">
      <c r="A556" t="s">
        <v>47</v>
      </c>
      <c r="B556">
        <v>2020</v>
      </c>
      <c r="C556">
        <v>84836</v>
      </c>
      <c r="D556">
        <v>11225</v>
      </c>
      <c r="E556">
        <v>1295</v>
      </c>
      <c r="F556">
        <v>121665</v>
      </c>
    </row>
    <row r="557" spans="1:6" x14ac:dyDescent="0.3">
      <c r="A557" t="s">
        <v>47</v>
      </c>
      <c r="B557">
        <v>2021</v>
      </c>
      <c r="C557">
        <v>89163</v>
      </c>
      <c r="D557">
        <v>20364</v>
      </c>
      <c r="E557">
        <v>1383</v>
      </c>
      <c r="F557">
        <v>156204</v>
      </c>
    </row>
    <row r="558" spans="1:6" x14ac:dyDescent="0.3">
      <c r="A558" t="s">
        <v>47</v>
      </c>
      <c r="B558">
        <v>2022</v>
      </c>
      <c r="C558">
        <v>95407</v>
      </c>
      <c r="D558">
        <v>26538</v>
      </c>
      <c r="E558">
        <v>1390</v>
      </c>
      <c r="F558">
        <v>180663</v>
      </c>
    </row>
    <row r="559" spans="1:6" x14ac:dyDescent="0.3">
      <c r="A559" t="s">
        <v>47</v>
      </c>
      <c r="B559">
        <v>2023</v>
      </c>
      <c r="C559">
        <v>121067</v>
      </c>
      <c r="D559">
        <v>35461</v>
      </c>
      <c r="E559">
        <v>1397</v>
      </c>
      <c r="F559">
        <v>213101</v>
      </c>
    </row>
    <row r="560" spans="1:6" x14ac:dyDescent="0.3">
      <c r="A560" t="s">
        <v>47</v>
      </c>
      <c r="B560">
        <v>2024</v>
      </c>
      <c r="C560">
        <v>159516</v>
      </c>
      <c r="D560">
        <v>46081</v>
      </c>
      <c r="E560">
        <v>1405</v>
      </c>
      <c r="F560">
        <v>254739</v>
      </c>
    </row>
    <row r="561" spans="1:6" x14ac:dyDescent="0.3">
      <c r="A561" t="s">
        <v>48</v>
      </c>
      <c r="C561">
        <v>23301</v>
      </c>
      <c r="D561">
        <v>2518</v>
      </c>
    </row>
    <row r="562" spans="1:6" x14ac:dyDescent="0.3">
      <c r="A562" t="s">
        <v>48</v>
      </c>
      <c r="B562">
        <v>2013</v>
      </c>
      <c r="C562">
        <v>4012</v>
      </c>
      <c r="D562">
        <v>353</v>
      </c>
      <c r="E562">
        <v>437</v>
      </c>
      <c r="F562">
        <v>1433</v>
      </c>
    </row>
    <row r="563" spans="1:6" x14ac:dyDescent="0.3">
      <c r="A563" t="s">
        <v>48</v>
      </c>
      <c r="B563">
        <v>2014</v>
      </c>
      <c r="C563">
        <v>4352</v>
      </c>
      <c r="D563">
        <v>520</v>
      </c>
      <c r="E563">
        <v>445</v>
      </c>
      <c r="F563">
        <v>1949</v>
      </c>
    </row>
    <row r="564" spans="1:6" x14ac:dyDescent="0.3">
      <c r="A564" t="s">
        <v>48</v>
      </c>
      <c r="B564">
        <v>2015</v>
      </c>
      <c r="C564">
        <v>4234</v>
      </c>
      <c r="D564">
        <v>585</v>
      </c>
      <c r="E564">
        <v>447</v>
      </c>
      <c r="F564">
        <v>2439</v>
      </c>
    </row>
    <row r="565" spans="1:6" x14ac:dyDescent="0.3">
      <c r="A565" t="s">
        <v>48</v>
      </c>
      <c r="B565">
        <v>2016</v>
      </c>
      <c r="C565">
        <v>6033</v>
      </c>
      <c r="D565">
        <v>507</v>
      </c>
      <c r="E565">
        <v>448</v>
      </c>
      <c r="F565">
        <v>2789</v>
      </c>
    </row>
    <row r="566" spans="1:6" x14ac:dyDescent="0.3">
      <c r="A566" t="s">
        <v>48</v>
      </c>
      <c r="B566">
        <v>2017</v>
      </c>
      <c r="C566">
        <v>7520</v>
      </c>
      <c r="D566">
        <v>702</v>
      </c>
      <c r="E566">
        <v>451</v>
      </c>
      <c r="F566">
        <v>3450</v>
      </c>
    </row>
    <row r="567" spans="1:6" x14ac:dyDescent="0.3">
      <c r="A567" t="s">
        <v>48</v>
      </c>
      <c r="B567">
        <v>2018</v>
      </c>
      <c r="C567">
        <v>6912</v>
      </c>
      <c r="D567">
        <v>862</v>
      </c>
      <c r="E567">
        <v>454</v>
      </c>
      <c r="F567">
        <v>4087</v>
      </c>
    </row>
    <row r="568" spans="1:6" x14ac:dyDescent="0.3">
      <c r="A568" t="s">
        <v>48</v>
      </c>
      <c r="B568">
        <v>2019</v>
      </c>
      <c r="C568">
        <v>11163</v>
      </c>
      <c r="D568">
        <v>1049</v>
      </c>
      <c r="E568">
        <v>454</v>
      </c>
      <c r="F568">
        <v>4946</v>
      </c>
    </row>
    <row r="569" spans="1:6" x14ac:dyDescent="0.3">
      <c r="A569" t="s">
        <v>48</v>
      </c>
      <c r="B569">
        <v>2020</v>
      </c>
      <c r="C569">
        <v>11517</v>
      </c>
      <c r="D569">
        <v>1194</v>
      </c>
      <c r="E569">
        <v>454</v>
      </c>
      <c r="F569">
        <v>5680</v>
      </c>
    </row>
    <row r="570" spans="1:6" x14ac:dyDescent="0.3">
      <c r="A570" t="s">
        <v>48</v>
      </c>
      <c r="B570">
        <v>2021</v>
      </c>
      <c r="C570">
        <v>12161</v>
      </c>
      <c r="D570">
        <v>1473</v>
      </c>
      <c r="E570">
        <v>455</v>
      </c>
      <c r="F570">
        <v>7144</v>
      </c>
    </row>
    <row r="571" spans="1:6" x14ac:dyDescent="0.3">
      <c r="A571" t="s">
        <v>48</v>
      </c>
      <c r="B571">
        <v>2022</v>
      </c>
      <c r="C571">
        <v>16026</v>
      </c>
      <c r="D571">
        <v>1271</v>
      </c>
      <c r="E571">
        <v>491</v>
      </c>
      <c r="F571">
        <v>8702</v>
      </c>
    </row>
    <row r="572" spans="1:6" x14ac:dyDescent="0.3">
      <c r="A572" t="s">
        <v>48</v>
      </c>
      <c r="B572">
        <v>2023</v>
      </c>
      <c r="C572">
        <v>17876</v>
      </c>
      <c r="D572">
        <v>1729</v>
      </c>
      <c r="E572">
        <v>491</v>
      </c>
      <c r="F572">
        <v>9953</v>
      </c>
    </row>
    <row r="573" spans="1:6" x14ac:dyDescent="0.3">
      <c r="A573" t="s">
        <v>48</v>
      </c>
      <c r="B573">
        <v>2024</v>
      </c>
      <c r="C573">
        <v>20487</v>
      </c>
      <c r="D573">
        <v>1919</v>
      </c>
      <c r="E573">
        <v>493</v>
      </c>
      <c r="F573">
        <v>11712</v>
      </c>
    </row>
    <row r="574" spans="1:6" x14ac:dyDescent="0.3">
      <c r="A574" t="s">
        <v>49</v>
      </c>
      <c r="C574">
        <v>77572</v>
      </c>
      <c r="D574">
        <v>974</v>
      </c>
    </row>
    <row r="575" spans="1:6" x14ac:dyDescent="0.3">
      <c r="A575" t="s">
        <v>49</v>
      </c>
      <c r="B575">
        <v>2013</v>
      </c>
      <c r="C575">
        <v>20025</v>
      </c>
      <c r="D575">
        <v>1515</v>
      </c>
      <c r="E575">
        <v>1429</v>
      </c>
      <c r="F575">
        <v>2532</v>
      </c>
    </row>
    <row r="576" spans="1:6" x14ac:dyDescent="0.3">
      <c r="A576" t="s">
        <v>49</v>
      </c>
      <c r="B576">
        <v>2014</v>
      </c>
      <c r="C576">
        <v>21888</v>
      </c>
      <c r="D576">
        <v>1561</v>
      </c>
      <c r="E576">
        <v>1429</v>
      </c>
      <c r="F576">
        <v>2954</v>
      </c>
    </row>
    <row r="577" spans="1:6" x14ac:dyDescent="0.3">
      <c r="A577" t="s">
        <v>49</v>
      </c>
      <c r="B577">
        <v>2015</v>
      </c>
      <c r="C577">
        <v>34453</v>
      </c>
      <c r="D577">
        <v>1640</v>
      </c>
      <c r="E577">
        <v>1432</v>
      </c>
      <c r="F577">
        <v>3833</v>
      </c>
    </row>
    <row r="578" spans="1:6" x14ac:dyDescent="0.3">
      <c r="A578" t="s">
        <v>49</v>
      </c>
      <c r="B578">
        <v>2016</v>
      </c>
      <c r="C578">
        <v>20849</v>
      </c>
      <c r="D578">
        <v>1650</v>
      </c>
      <c r="E578">
        <v>1432</v>
      </c>
      <c r="F578">
        <v>3891</v>
      </c>
    </row>
    <row r="579" spans="1:6" x14ac:dyDescent="0.3">
      <c r="A579" t="s">
        <v>49</v>
      </c>
      <c r="B579">
        <v>2017</v>
      </c>
      <c r="C579">
        <v>37816</v>
      </c>
      <c r="D579">
        <v>1682</v>
      </c>
      <c r="E579">
        <v>1435</v>
      </c>
      <c r="F579">
        <v>4971</v>
      </c>
    </row>
    <row r="580" spans="1:6" x14ac:dyDescent="0.3">
      <c r="A580" t="s">
        <v>49</v>
      </c>
      <c r="B580">
        <v>2018</v>
      </c>
      <c r="C580">
        <v>38832</v>
      </c>
      <c r="D580">
        <v>1619</v>
      </c>
      <c r="E580">
        <v>1436</v>
      </c>
      <c r="F580">
        <v>5138</v>
      </c>
    </row>
    <row r="581" spans="1:6" x14ac:dyDescent="0.3">
      <c r="A581" t="s">
        <v>49</v>
      </c>
      <c r="B581">
        <v>2019</v>
      </c>
      <c r="C581">
        <v>41463</v>
      </c>
      <c r="D581">
        <v>1139</v>
      </c>
      <c r="E581">
        <v>1436</v>
      </c>
      <c r="F581">
        <v>5435</v>
      </c>
    </row>
    <row r="582" spans="1:6" x14ac:dyDescent="0.3">
      <c r="A582" t="s">
        <v>49</v>
      </c>
      <c r="B582">
        <v>2020</v>
      </c>
      <c r="C582">
        <v>21025</v>
      </c>
      <c r="D582">
        <v>1067</v>
      </c>
      <c r="E582">
        <v>1436</v>
      </c>
      <c r="F582">
        <v>5777</v>
      </c>
    </row>
    <row r="583" spans="1:6" x14ac:dyDescent="0.3">
      <c r="A583" t="s">
        <v>49</v>
      </c>
      <c r="B583">
        <v>2021</v>
      </c>
      <c r="C583">
        <v>83182</v>
      </c>
      <c r="D583">
        <v>956</v>
      </c>
      <c r="E583">
        <v>1436</v>
      </c>
      <c r="F583">
        <v>7673</v>
      </c>
    </row>
    <row r="584" spans="1:6" x14ac:dyDescent="0.3">
      <c r="A584" t="s">
        <v>49</v>
      </c>
      <c r="B584">
        <v>2022</v>
      </c>
      <c r="C584">
        <v>63564</v>
      </c>
      <c r="D584">
        <v>759</v>
      </c>
      <c r="E584">
        <v>1437</v>
      </c>
      <c r="F584">
        <v>7721</v>
      </c>
    </row>
    <row r="585" spans="1:6" x14ac:dyDescent="0.3">
      <c r="A585" t="s">
        <v>49</v>
      </c>
      <c r="B585">
        <v>2023</v>
      </c>
      <c r="C585">
        <v>50478</v>
      </c>
      <c r="D585">
        <v>813</v>
      </c>
      <c r="E585">
        <v>1439</v>
      </c>
      <c r="F585">
        <v>8651</v>
      </c>
    </row>
    <row r="586" spans="1:6" x14ac:dyDescent="0.3">
      <c r="A586" t="s">
        <v>49</v>
      </c>
      <c r="B586">
        <v>2024</v>
      </c>
      <c r="C586">
        <v>90307</v>
      </c>
      <c r="D586">
        <v>851</v>
      </c>
      <c r="E586">
        <v>1441</v>
      </c>
      <c r="F586">
        <v>9564</v>
      </c>
    </row>
    <row r="587" spans="1:6" x14ac:dyDescent="0.3">
      <c r="A587" t="s">
        <v>50</v>
      </c>
      <c r="C587">
        <v>76476</v>
      </c>
      <c r="D587">
        <v>6074</v>
      </c>
    </row>
    <row r="588" spans="1:6" x14ac:dyDescent="0.3">
      <c r="A588" t="s">
        <v>50</v>
      </c>
      <c r="B588">
        <v>2013</v>
      </c>
      <c r="C588">
        <v>9203</v>
      </c>
      <c r="D588">
        <v>787</v>
      </c>
      <c r="E588">
        <v>0.4</v>
      </c>
      <c r="F588">
        <v>4</v>
      </c>
    </row>
    <row r="589" spans="1:6" x14ac:dyDescent="0.3">
      <c r="A589" t="s">
        <v>50</v>
      </c>
      <c r="B589">
        <v>2014</v>
      </c>
      <c r="C589">
        <v>11117</v>
      </c>
      <c r="D589">
        <v>474</v>
      </c>
      <c r="E589">
        <v>0.4</v>
      </c>
      <c r="F589">
        <v>4</v>
      </c>
    </row>
    <row r="590" spans="1:6" x14ac:dyDescent="0.3">
      <c r="A590" t="s">
        <v>50</v>
      </c>
      <c r="B590">
        <v>2015</v>
      </c>
      <c r="C590">
        <v>13925</v>
      </c>
      <c r="D590">
        <v>1304</v>
      </c>
      <c r="E590">
        <v>0.4</v>
      </c>
      <c r="F590">
        <v>26</v>
      </c>
    </row>
    <row r="591" spans="1:6" x14ac:dyDescent="0.3">
      <c r="A591" t="s">
        <v>50</v>
      </c>
      <c r="B591">
        <v>2016</v>
      </c>
      <c r="C591">
        <v>16140</v>
      </c>
      <c r="D591">
        <v>1986</v>
      </c>
      <c r="E591">
        <v>0.4</v>
      </c>
      <c r="F591">
        <v>129</v>
      </c>
    </row>
    <row r="592" spans="1:6" x14ac:dyDescent="0.3">
      <c r="A592" t="s">
        <v>50</v>
      </c>
      <c r="B592">
        <v>2017</v>
      </c>
      <c r="C592">
        <v>18580</v>
      </c>
      <c r="D592">
        <v>1659</v>
      </c>
      <c r="E592">
        <v>29</v>
      </c>
      <c r="F592">
        <v>69</v>
      </c>
    </row>
    <row r="593" spans="1:6" x14ac:dyDescent="0.3">
      <c r="A593" t="s">
        <v>50</v>
      </c>
      <c r="B593">
        <v>2018</v>
      </c>
      <c r="C593">
        <v>23021</v>
      </c>
      <c r="D593">
        <v>2242</v>
      </c>
      <c r="E593">
        <v>29</v>
      </c>
      <c r="F593">
        <v>71</v>
      </c>
    </row>
    <row r="594" spans="1:6" x14ac:dyDescent="0.3">
      <c r="A594" t="s">
        <v>50</v>
      </c>
      <c r="B594">
        <v>2019</v>
      </c>
      <c r="C594">
        <v>28497</v>
      </c>
      <c r="D594">
        <v>156</v>
      </c>
      <c r="E594">
        <v>29</v>
      </c>
      <c r="F594">
        <v>100</v>
      </c>
    </row>
    <row r="595" spans="1:6" x14ac:dyDescent="0.3">
      <c r="A595" t="s">
        <v>50</v>
      </c>
      <c r="B595">
        <v>2020</v>
      </c>
      <c r="C595">
        <v>35756</v>
      </c>
      <c r="D595">
        <v>-248</v>
      </c>
      <c r="E595">
        <v>29</v>
      </c>
      <c r="F595">
        <v>150</v>
      </c>
    </row>
    <row r="596" spans="1:6" x14ac:dyDescent="0.3">
      <c r="A596" t="s">
        <v>50</v>
      </c>
      <c r="B596">
        <v>2021</v>
      </c>
      <c r="C596">
        <v>14641</v>
      </c>
      <c r="D596">
        <v>-6171</v>
      </c>
      <c r="E596">
        <v>48</v>
      </c>
      <c r="F596">
        <v>516</v>
      </c>
    </row>
    <row r="597" spans="1:6" x14ac:dyDescent="0.3">
      <c r="A597" t="s">
        <v>50</v>
      </c>
      <c r="B597">
        <v>2022</v>
      </c>
      <c r="C597">
        <v>25931</v>
      </c>
      <c r="D597">
        <v>-317</v>
      </c>
      <c r="E597">
        <v>48</v>
      </c>
      <c r="F597">
        <v>602</v>
      </c>
    </row>
    <row r="598" spans="1:6" x14ac:dyDescent="0.3">
      <c r="A598" t="s">
        <v>50</v>
      </c>
      <c r="B598">
        <v>2023</v>
      </c>
      <c r="C598">
        <v>54446</v>
      </c>
      <c r="D598">
        <v>-317</v>
      </c>
      <c r="E598">
        <v>48</v>
      </c>
      <c r="F598">
        <v>729</v>
      </c>
    </row>
    <row r="599" spans="1:6" x14ac:dyDescent="0.3">
      <c r="A599" t="s">
        <v>50</v>
      </c>
      <c r="B599">
        <v>2024</v>
      </c>
      <c r="C599">
        <v>68904</v>
      </c>
      <c r="D599">
        <v>8167</v>
      </c>
      <c r="E599">
        <v>48</v>
      </c>
      <c r="F599">
        <v>867</v>
      </c>
    </row>
    <row r="600" spans="1:6" x14ac:dyDescent="0.3">
      <c r="A600" t="s">
        <v>51</v>
      </c>
      <c r="C600">
        <v>49004</v>
      </c>
      <c r="D600">
        <v>8122</v>
      </c>
    </row>
    <row r="601" spans="1:6" x14ac:dyDescent="0.3">
      <c r="A601" t="s">
        <v>51</v>
      </c>
      <c r="B601">
        <v>2013</v>
      </c>
      <c r="C601">
        <v>6983</v>
      </c>
      <c r="D601">
        <v>1061</v>
      </c>
      <c r="E601">
        <v>523</v>
      </c>
      <c r="F601">
        <v>7107</v>
      </c>
    </row>
    <row r="602" spans="1:6" x14ac:dyDescent="0.3">
      <c r="A602" t="s">
        <v>51</v>
      </c>
      <c r="B602">
        <v>2014</v>
      </c>
      <c r="C602">
        <v>8254</v>
      </c>
      <c r="D602">
        <v>1408</v>
      </c>
      <c r="E602">
        <v>526</v>
      </c>
      <c r="F602">
        <v>8517</v>
      </c>
    </row>
    <row r="603" spans="1:6" x14ac:dyDescent="0.3">
      <c r="A603" t="s">
        <v>51</v>
      </c>
      <c r="B603">
        <v>2015</v>
      </c>
      <c r="C603">
        <v>9692</v>
      </c>
      <c r="D603">
        <v>1794</v>
      </c>
      <c r="E603">
        <v>529</v>
      </c>
      <c r="F603">
        <v>10115</v>
      </c>
    </row>
    <row r="604" spans="1:6" x14ac:dyDescent="0.3">
      <c r="A604" t="s">
        <v>51</v>
      </c>
      <c r="B604">
        <v>2016</v>
      </c>
      <c r="C604">
        <v>11872</v>
      </c>
      <c r="D604">
        <v>2286</v>
      </c>
      <c r="E604">
        <v>595</v>
      </c>
      <c r="F604">
        <v>17101</v>
      </c>
    </row>
    <row r="605" spans="1:6" x14ac:dyDescent="0.3">
      <c r="A605" t="s">
        <v>51</v>
      </c>
      <c r="B605">
        <v>2017</v>
      </c>
      <c r="C605">
        <v>14406</v>
      </c>
      <c r="D605">
        <v>2868</v>
      </c>
      <c r="E605">
        <v>598</v>
      </c>
      <c r="F605">
        <v>20048</v>
      </c>
    </row>
    <row r="606" spans="1:6" x14ac:dyDescent="0.3">
      <c r="A606" t="s">
        <v>51</v>
      </c>
      <c r="B606">
        <v>2018</v>
      </c>
      <c r="C606">
        <v>17281</v>
      </c>
      <c r="D606">
        <v>3606</v>
      </c>
      <c r="E606">
        <v>600</v>
      </c>
      <c r="F606">
        <v>23241</v>
      </c>
    </row>
    <row r="607" spans="1:6" x14ac:dyDescent="0.3">
      <c r="A607" t="s">
        <v>51</v>
      </c>
      <c r="B607">
        <v>2019</v>
      </c>
      <c r="C607">
        <v>22261</v>
      </c>
      <c r="D607">
        <v>3301</v>
      </c>
      <c r="E607">
        <v>603</v>
      </c>
      <c r="F607">
        <v>26083</v>
      </c>
    </row>
    <row r="608" spans="1:6" x14ac:dyDescent="0.3">
      <c r="A608" t="s">
        <v>51</v>
      </c>
      <c r="B608">
        <v>2020</v>
      </c>
      <c r="C608">
        <v>28783</v>
      </c>
      <c r="D608">
        <v>4418</v>
      </c>
      <c r="E608">
        <v>694</v>
      </c>
      <c r="F608">
        <v>34013</v>
      </c>
    </row>
    <row r="609" spans="1:6" x14ac:dyDescent="0.3">
      <c r="A609" t="s">
        <v>51</v>
      </c>
      <c r="B609">
        <v>2021</v>
      </c>
      <c r="C609">
        <v>29000</v>
      </c>
      <c r="D609">
        <v>2836</v>
      </c>
      <c r="E609">
        <v>773</v>
      </c>
      <c r="F609">
        <v>42592</v>
      </c>
    </row>
    <row r="610" spans="1:6" x14ac:dyDescent="0.3">
      <c r="A610" t="s">
        <v>51</v>
      </c>
      <c r="B610">
        <v>2022</v>
      </c>
      <c r="C610">
        <v>30822</v>
      </c>
      <c r="D610">
        <v>4611</v>
      </c>
      <c r="E610">
        <v>775</v>
      </c>
      <c r="F610">
        <v>46923</v>
      </c>
    </row>
    <row r="611" spans="1:6" x14ac:dyDescent="0.3">
      <c r="A611" t="s">
        <v>51</v>
      </c>
      <c r="B611">
        <v>2023</v>
      </c>
      <c r="C611">
        <v>36368</v>
      </c>
      <c r="D611">
        <v>7390</v>
      </c>
      <c r="E611">
        <v>776</v>
      </c>
      <c r="F611">
        <v>53846</v>
      </c>
    </row>
    <row r="612" spans="1:6" x14ac:dyDescent="0.3">
      <c r="A612" t="s">
        <v>51</v>
      </c>
      <c r="B612">
        <v>2024</v>
      </c>
      <c r="C612">
        <v>45748</v>
      </c>
      <c r="D612">
        <v>8950</v>
      </c>
      <c r="E612">
        <v>778</v>
      </c>
      <c r="F612">
        <v>62019</v>
      </c>
    </row>
    <row r="613" spans="1:6" x14ac:dyDescent="0.3">
      <c r="A613" t="s">
        <v>52</v>
      </c>
      <c r="C613">
        <v>159988</v>
      </c>
      <c r="D613">
        <v>27687</v>
      </c>
    </row>
    <row r="614" spans="1:6" x14ac:dyDescent="0.3">
      <c r="A614" t="s">
        <v>52</v>
      </c>
      <c r="B614">
        <v>2013</v>
      </c>
      <c r="C614">
        <v>40352</v>
      </c>
      <c r="D614">
        <v>9429</v>
      </c>
      <c r="E614">
        <v>286</v>
      </c>
      <c r="F614">
        <v>37708</v>
      </c>
    </row>
    <row r="615" spans="1:6" x14ac:dyDescent="0.3">
      <c r="A615" t="s">
        <v>52</v>
      </c>
      <c r="B615">
        <v>2014</v>
      </c>
      <c r="C615">
        <v>50133</v>
      </c>
      <c r="D615">
        <v>10656</v>
      </c>
      <c r="E615">
        <v>286</v>
      </c>
      <c r="F615">
        <v>44244</v>
      </c>
    </row>
    <row r="616" spans="1:6" x14ac:dyDescent="0.3">
      <c r="A616" t="s">
        <v>52</v>
      </c>
      <c r="B616">
        <v>2015</v>
      </c>
      <c r="C616">
        <v>53319</v>
      </c>
      <c r="D616">
        <v>12372</v>
      </c>
      <c r="E616">
        <v>572</v>
      </c>
      <c r="F616">
        <v>50164</v>
      </c>
    </row>
    <row r="617" spans="1:6" x14ac:dyDescent="0.3">
      <c r="A617" t="s">
        <v>52</v>
      </c>
      <c r="B617">
        <v>2016</v>
      </c>
      <c r="C617">
        <v>62441</v>
      </c>
      <c r="D617">
        <v>13489</v>
      </c>
      <c r="E617">
        <v>1144</v>
      </c>
      <c r="F617">
        <v>60600</v>
      </c>
    </row>
    <row r="618" spans="1:6" x14ac:dyDescent="0.3">
      <c r="A618" t="s">
        <v>52</v>
      </c>
      <c r="B618">
        <v>2017</v>
      </c>
      <c r="C618">
        <v>68484</v>
      </c>
      <c r="D618">
        <v>14353</v>
      </c>
      <c r="E618">
        <v>1144</v>
      </c>
      <c r="F618">
        <v>67838</v>
      </c>
    </row>
    <row r="619" spans="1:6" x14ac:dyDescent="0.3">
      <c r="A619" t="s">
        <v>52</v>
      </c>
      <c r="B619">
        <v>2018</v>
      </c>
      <c r="C619">
        <v>70522</v>
      </c>
      <c r="D619">
        <v>16029</v>
      </c>
      <c r="E619">
        <v>1088</v>
      </c>
      <c r="F619">
        <v>63835</v>
      </c>
    </row>
    <row r="620" spans="1:6" x14ac:dyDescent="0.3">
      <c r="A620" t="s">
        <v>52</v>
      </c>
      <c r="B620">
        <v>2019</v>
      </c>
      <c r="C620">
        <v>82675</v>
      </c>
      <c r="D620">
        <v>15410</v>
      </c>
      <c r="E620">
        <v>2170</v>
      </c>
      <c r="F620">
        <v>62778</v>
      </c>
    </row>
    <row r="621" spans="1:6" x14ac:dyDescent="0.3">
      <c r="A621" t="s">
        <v>52</v>
      </c>
      <c r="B621">
        <v>2020</v>
      </c>
      <c r="C621">
        <v>90791</v>
      </c>
      <c r="D621">
        <v>16639</v>
      </c>
      <c r="E621">
        <v>2122</v>
      </c>
      <c r="F621">
        <v>63328</v>
      </c>
    </row>
    <row r="622" spans="1:6" x14ac:dyDescent="0.3">
      <c r="A622" t="s">
        <v>52</v>
      </c>
      <c r="B622">
        <v>2021</v>
      </c>
      <c r="C622">
        <v>100472</v>
      </c>
      <c r="D622">
        <v>19423</v>
      </c>
      <c r="E622">
        <v>2124</v>
      </c>
      <c r="F622">
        <v>74227</v>
      </c>
    </row>
    <row r="623" spans="1:6" x14ac:dyDescent="0.3">
      <c r="A623" t="s">
        <v>52</v>
      </c>
      <c r="B623">
        <v>2022</v>
      </c>
      <c r="C623">
        <v>121641</v>
      </c>
      <c r="D623">
        <v>22146</v>
      </c>
      <c r="E623">
        <v>2098</v>
      </c>
      <c r="F623">
        <v>73252</v>
      </c>
    </row>
    <row r="624" spans="1:6" x14ac:dyDescent="0.3">
      <c r="A624" t="s">
        <v>52</v>
      </c>
      <c r="B624">
        <v>2023</v>
      </c>
      <c r="C624">
        <v>146767</v>
      </c>
      <c r="D624">
        <v>24108</v>
      </c>
      <c r="E624">
        <v>2069</v>
      </c>
      <c r="F624">
        <v>73338</v>
      </c>
    </row>
    <row r="625" spans="1:6" x14ac:dyDescent="0.3">
      <c r="A625" t="s">
        <v>52</v>
      </c>
      <c r="B625">
        <v>2024</v>
      </c>
      <c r="C625">
        <v>153670</v>
      </c>
      <c r="D625">
        <v>26248</v>
      </c>
      <c r="E625">
        <v>2071</v>
      </c>
      <c r="F625">
        <v>86045</v>
      </c>
    </row>
    <row r="626" spans="1:6" x14ac:dyDescent="0.3">
      <c r="A626" t="s">
        <v>53</v>
      </c>
      <c r="C626">
        <v>761485</v>
      </c>
      <c r="D626">
        <v>10909</v>
      </c>
    </row>
    <row r="627" spans="1:6" x14ac:dyDescent="0.3">
      <c r="A627" t="s">
        <v>53</v>
      </c>
      <c r="B627">
        <v>2013</v>
      </c>
      <c r="C627">
        <v>461780</v>
      </c>
      <c r="D627">
        <v>3627</v>
      </c>
      <c r="E627">
        <v>2428</v>
      </c>
      <c r="F627">
        <v>60609</v>
      </c>
    </row>
    <row r="628" spans="1:6" x14ac:dyDescent="0.3">
      <c r="A628" t="s">
        <v>53</v>
      </c>
      <c r="B628">
        <v>2014</v>
      </c>
      <c r="C628">
        <v>488345</v>
      </c>
      <c r="D628">
        <v>6967</v>
      </c>
      <c r="E628">
        <v>2428</v>
      </c>
      <c r="F628">
        <v>65485</v>
      </c>
    </row>
    <row r="629" spans="1:6" x14ac:dyDescent="0.3">
      <c r="A629" t="s">
        <v>53</v>
      </c>
      <c r="B629">
        <v>2015</v>
      </c>
      <c r="C629">
        <v>449507</v>
      </c>
      <c r="D629">
        <v>4872</v>
      </c>
      <c r="E629">
        <v>2428</v>
      </c>
      <c r="F629">
        <v>66404</v>
      </c>
    </row>
    <row r="630" spans="1:6" x14ac:dyDescent="0.3">
      <c r="A630" t="s">
        <v>53</v>
      </c>
      <c r="B630">
        <v>2016</v>
      </c>
      <c r="C630">
        <v>346045</v>
      </c>
      <c r="D630">
        <v>12413</v>
      </c>
      <c r="E630">
        <v>2370</v>
      </c>
      <c r="F630">
        <v>87610</v>
      </c>
    </row>
    <row r="631" spans="1:6" x14ac:dyDescent="0.3">
      <c r="A631" t="s">
        <v>53</v>
      </c>
      <c r="B631">
        <v>2017</v>
      </c>
      <c r="C631">
        <v>355379</v>
      </c>
      <c r="D631">
        <v>20385</v>
      </c>
      <c r="E631">
        <v>4739</v>
      </c>
      <c r="F631">
        <v>97357</v>
      </c>
    </row>
    <row r="632" spans="1:6" x14ac:dyDescent="0.3">
      <c r="A632" t="s">
        <v>53</v>
      </c>
      <c r="B632">
        <v>2018</v>
      </c>
      <c r="C632">
        <v>421492</v>
      </c>
      <c r="D632">
        <v>22626</v>
      </c>
      <c r="E632">
        <v>9479</v>
      </c>
      <c r="F632">
        <v>104395</v>
      </c>
    </row>
    <row r="633" spans="1:6" x14ac:dyDescent="0.3">
      <c r="A633" t="s">
        <v>53</v>
      </c>
      <c r="B633">
        <v>2019</v>
      </c>
      <c r="C633">
        <v>528158</v>
      </c>
      <c r="D633">
        <v>17274</v>
      </c>
      <c r="E633">
        <v>9181</v>
      </c>
      <c r="F633">
        <v>103288</v>
      </c>
    </row>
    <row r="634" spans="1:6" x14ac:dyDescent="0.3">
      <c r="A634" t="s">
        <v>53</v>
      </c>
      <c r="B634">
        <v>2020</v>
      </c>
      <c r="C634">
        <v>483763</v>
      </c>
      <c r="D634">
        <v>-1876</v>
      </c>
      <c r="E634">
        <v>9181</v>
      </c>
      <c r="F634">
        <v>86217</v>
      </c>
    </row>
    <row r="635" spans="1:6" x14ac:dyDescent="0.3">
      <c r="A635" t="s">
        <v>53</v>
      </c>
      <c r="B635">
        <v>2021</v>
      </c>
      <c r="C635">
        <v>363950</v>
      </c>
      <c r="D635">
        <v>21762</v>
      </c>
      <c r="E635">
        <v>9181</v>
      </c>
      <c r="F635">
        <v>102657</v>
      </c>
    </row>
    <row r="636" spans="1:6" x14ac:dyDescent="0.3">
      <c r="A636" t="s">
        <v>53</v>
      </c>
      <c r="B636">
        <v>2022</v>
      </c>
      <c r="C636">
        <v>589321</v>
      </c>
      <c r="D636">
        <v>25727</v>
      </c>
      <c r="E636">
        <v>9181</v>
      </c>
      <c r="F636">
        <v>124354</v>
      </c>
    </row>
    <row r="637" spans="1:6" x14ac:dyDescent="0.3">
      <c r="A637" t="s">
        <v>53</v>
      </c>
      <c r="B637">
        <v>2023</v>
      </c>
      <c r="C637">
        <v>841756</v>
      </c>
      <c r="D637">
        <v>11704</v>
      </c>
      <c r="E637">
        <v>13772</v>
      </c>
      <c r="F637">
        <v>125949</v>
      </c>
    </row>
    <row r="638" spans="1:6" x14ac:dyDescent="0.3">
      <c r="A638" t="s">
        <v>53</v>
      </c>
      <c r="B638">
        <v>2024</v>
      </c>
      <c r="C638">
        <v>776352</v>
      </c>
      <c r="D638">
        <v>43161</v>
      </c>
      <c r="E638">
        <v>13772</v>
      </c>
      <c r="F638">
        <v>167594</v>
      </c>
    </row>
    <row r="639" spans="1:6" x14ac:dyDescent="0.3">
      <c r="A639" t="s">
        <v>54</v>
      </c>
      <c r="C639">
        <v>4455</v>
      </c>
      <c r="D639">
        <v>1200</v>
      </c>
    </row>
    <row r="640" spans="1:6" x14ac:dyDescent="0.3">
      <c r="A640" t="s">
        <v>54</v>
      </c>
      <c r="B640">
        <v>2015</v>
      </c>
      <c r="C640">
        <v>1059</v>
      </c>
      <c r="D640">
        <v>131</v>
      </c>
      <c r="E640">
        <v>20</v>
      </c>
      <c r="F640">
        <v>424</v>
      </c>
    </row>
    <row r="641" spans="1:6" x14ac:dyDescent="0.3">
      <c r="A641" t="s">
        <v>54</v>
      </c>
      <c r="B641">
        <v>2016</v>
      </c>
      <c r="C641">
        <v>1367</v>
      </c>
      <c r="D641">
        <v>189</v>
      </c>
      <c r="E641">
        <v>20</v>
      </c>
      <c r="F641">
        <v>522</v>
      </c>
    </row>
    <row r="642" spans="1:6" x14ac:dyDescent="0.3">
      <c r="A642" t="s">
        <v>54</v>
      </c>
      <c r="B642">
        <v>2017</v>
      </c>
      <c r="C642">
        <v>1520</v>
      </c>
      <c r="D642">
        <v>229</v>
      </c>
      <c r="E642">
        <v>40</v>
      </c>
      <c r="F642">
        <v>747</v>
      </c>
    </row>
    <row r="643" spans="1:6" x14ac:dyDescent="0.3">
      <c r="A643" t="s">
        <v>54</v>
      </c>
      <c r="B643">
        <v>2018</v>
      </c>
      <c r="C643">
        <v>1466</v>
      </c>
      <c r="D643">
        <v>221</v>
      </c>
      <c r="E643">
        <v>40</v>
      </c>
      <c r="F643">
        <v>915</v>
      </c>
    </row>
    <row r="644" spans="1:6" x14ac:dyDescent="0.3">
      <c r="A644" t="s">
        <v>54</v>
      </c>
      <c r="B644">
        <v>2019</v>
      </c>
      <c r="C644">
        <v>1870</v>
      </c>
      <c r="D644">
        <v>309</v>
      </c>
      <c r="E644">
        <v>160</v>
      </c>
      <c r="F644">
        <v>911</v>
      </c>
    </row>
    <row r="645" spans="1:6" x14ac:dyDescent="0.3">
      <c r="A645" t="s">
        <v>54</v>
      </c>
      <c r="B645">
        <v>2020</v>
      </c>
      <c r="C645">
        <v>2264</v>
      </c>
      <c r="D645">
        <v>513</v>
      </c>
      <c r="E645">
        <v>160</v>
      </c>
      <c r="F645">
        <v>1154</v>
      </c>
    </row>
    <row r="646" spans="1:6" x14ac:dyDescent="0.3">
      <c r="A646" t="s">
        <v>54</v>
      </c>
      <c r="B646">
        <v>2021</v>
      </c>
      <c r="C646">
        <v>777</v>
      </c>
      <c r="D646">
        <v>187</v>
      </c>
      <c r="E646">
        <v>160</v>
      </c>
      <c r="F646">
        <v>1296</v>
      </c>
    </row>
    <row r="647" spans="1:6" x14ac:dyDescent="0.3">
      <c r="A647" t="s">
        <v>54</v>
      </c>
      <c r="B647">
        <v>2022</v>
      </c>
      <c r="C647">
        <v>1879</v>
      </c>
      <c r="D647">
        <v>660</v>
      </c>
      <c r="E647">
        <v>160</v>
      </c>
      <c r="F647">
        <v>1710</v>
      </c>
    </row>
    <row r="648" spans="1:6" x14ac:dyDescent="0.3">
      <c r="A648" t="s">
        <v>54</v>
      </c>
      <c r="B648">
        <v>2023</v>
      </c>
      <c r="C648">
        <v>3541</v>
      </c>
      <c r="D648">
        <v>1006</v>
      </c>
      <c r="E648">
        <v>160</v>
      </c>
      <c r="F648">
        <v>2318</v>
      </c>
    </row>
    <row r="649" spans="1:6" x14ac:dyDescent="0.3">
      <c r="A649" t="s">
        <v>54</v>
      </c>
      <c r="B649">
        <v>2024</v>
      </c>
      <c r="C649">
        <v>4270</v>
      </c>
      <c r="D649">
        <v>1111</v>
      </c>
      <c r="E649">
        <v>160</v>
      </c>
      <c r="F649">
        <v>3070</v>
      </c>
    </row>
    <row r="650" spans="1:6" x14ac:dyDescent="0.3">
      <c r="A650" t="s">
        <v>55</v>
      </c>
      <c r="C650">
        <v>26902</v>
      </c>
      <c r="D650">
        <v>6537</v>
      </c>
    </row>
    <row r="651" spans="1:6" x14ac:dyDescent="0.3">
      <c r="A651" t="s">
        <v>55</v>
      </c>
      <c r="B651">
        <v>2013</v>
      </c>
      <c r="C651">
        <v>5550</v>
      </c>
      <c r="D651">
        <v>522</v>
      </c>
      <c r="E651">
        <v>2352</v>
      </c>
      <c r="F651">
        <v>4042</v>
      </c>
    </row>
    <row r="652" spans="1:6" x14ac:dyDescent="0.3">
      <c r="A652" t="s">
        <v>55</v>
      </c>
      <c r="B652">
        <v>2014</v>
      </c>
      <c r="C652">
        <v>6197</v>
      </c>
      <c r="D652">
        <v>701</v>
      </c>
      <c r="E652">
        <v>3352</v>
      </c>
      <c r="F652">
        <v>4210</v>
      </c>
    </row>
    <row r="653" spans="1:6" x14ac:dyDescent="0.3">
      <c r="A653" t="s">
        <v>55</v>
      </c>
      <c r="B653">
        <v>2015</v>
      </c>
      <c r="C653">
        <v>6939</v>
      </c>
      <c r="D653">
        <v>758</v>
      </c>
      <c r="E653">
        <v>3584</v>
      </c>
      <c r="F653">
        <v>5098</v>
      </c>
    </row>
    <row r="654" spans="1:6" x14ac:dyDescent="0.3">
      <c r="A654" t="s">
        <v>55</v>
      </c>
      <c r="B654">
        <v>2016</v>
      </c>
      <c r="C654">
        <v>7507</v>
      </c>
      <c r="D654">
        <v>849</v>
      </c>
      <c r="E654">
        <v>4526</v>
      </c>
      <c r="F654">
        <v>6999</v>
      </c>
    </row>
    <row r="655" spans="1:6" x14ac:dyDescent="0.3">
      <c r="A655" t="s">
        <v>55</v>
      </c>
      <c r="B655">
        <v>2017</v>
      </c>
      <c r="C655">
        <v>9047</v>
      </c>
      <c r="D655">
        <v>934</v>
      </c>
      <c r="E655">
        <v>6526</v>
      </c>
      <c r="F655">
        <v>5483</v>
      </c>
    </row>
    <row r="656" spans="1:6" x14ac:dyDescent="0.3">
      <c r="A656" t="s">
        <v>55</v>
      </c>
      <c r="B656">
        <v>2018</v>
      </c>
      <c r="C656">
        <v>9267</v>
      </c>
      <c r="D656">
        <v>2055</v>
      </c>
      <c r="E656">
        <v>6526</v>
      </c>
      <c r="F656">
        <v>7402</v>
      </c>
    </row>
    <row r="657" spans="1:6" x14ac:dyDescent="0.3">
      <c r="A657" t="s">
        <v>55</v>
      </c>
      <c r="B657">
        <v>2019</v>
      </c>
      <c r="C657">
        <v>11134</v>
      </c>
      <c r="D657">
        <v>2255</v>
      </c>
      <c r="E657">
        <v>9380</v>
      </c>
      <c r="F657">
        <v>15648</v>
      </c>
    </row>
    <row r="658" spans="1:6" x14ac:dyDescent="0.3">
      <c r="A658" t="s">
        <v>55</v>
      </c>
      <c r="B658">
        <v>2020</v>
      </c>
      <c r="C658">
        <v>13421</v>
      </c>
      <c r="D658">
        <v>3192</v>
      </c>
      <c r="E658">
        <v>11880</v>
      </c>
      <c r="F658">
        <v>18419</v>
      </c>
    </row>
    <row r="659" spans="1:6" x14ac:dyDescent="0.3">
      <c r="A659" t="s">
        <v>55</v>
      </c>
      <c r="B659">
        <v>2021</v>
      </c>
      <c r="C659">
        <v>15771</v>
      </c>
      <c r="D659">
        <v>4416</v>
      </c>
      <c r="E659">
        <v>13069</v>
      </c>
      <c r="F659">
        <v>22845</v>
      </c>
    </row>
    <row r="660" spans="1:6" x14ac:dyDescent="0.3">
      <c r="A660" t="s">
        <v>55</v>
      </c>
      <c r="B660">
        <v>2022</v>
      </c>
      <c r="C660">
        <v>20299</v>
      </c>
      <c r="D660">
        <v>6090</v>
      </c>
      <c r="E660">
        <v>13069</v>
      </c>
      <c r="F660">
        <v>27928</v>
      </c>
    </row>
    <row r="661" spans="1:6" x14ac:dyDescent="0.3">
      <c r="A661" t="s">
        <v>55</v>
      </c>
      <c r="B661">
        <v>2023</v>
      </c>
      <c r="C661">
        <v>23722</v>
      </c>
      <c r="D661">
        <v>6167</v>
      </c>
      <c r="E661">
        <v>13069</v>
      </c>
      <c r="F661">
        <v>31612</v>
      </c>
    </row>
    <row r="662" spans="1:6" x14ac:dyDescent="0.3">
      <c r="A662" t="s">
        <v>55</v>
      </c>
      <c r="B662">
        <v>2024</v>
      </c>
      <c r="C662">
        <v>26645</v>
      </c>
      <c r="D662">
        <v>6412</v>
      </c>
      <c r="E662">
        <v>13069</v>
      </c>
      <c r="F662">
        <v>36110</v>
      </c>
    </row>
    <row r="663" spans="1:6" x14ac:dyDescent="0.3">
      <c r="A663" t="s">
        <v>56</v>
      </c>
      <c r="C663">
        <v>75135</v>
      </c>
      <c r="D663">
        <v>20829</v>
      </c>
    </row>
    <row r="664" spans="1:6" x14ac:dyDescent="0.3">
      <c r="A664" t="s">
        <v>56</v>
      </c>
      <c r="B664">
        <v>2013</v>
      </c>
      <c r="C664">
        <v>31618</v>
      </c>
      <c r="D664">
        <v>7704</v>
      </c>
      <c r="E664">
        <v>790</v>
      </c>
      <c r="F664">
        <v>22368</v>
      </c>
    </row>
    <row r="665" spans="1:6" x14ac:dyDescent="0.3">
      <c r="A665" t="s">
        <v>56</v>
      </c>
      <c r="B665">
        <v>2014</v>
      </c>
      <c r="C665">
        <v>35306</v>
      </c>
      <c r="D665">
        <v>9001</v>
      </c>
      <c r="E665">
        <v>795</v>
      </c>
      <c r="F665">
        <v>26442</v>
      </c>
    </row>
    <row r="666" spans="1:6" x14ac:dyDescent="0.3">
      <c r="A666" t="s">
        <v>56</v>
      </c>
      <c r="B666">
        <v>2015</v>
      </c>
      <c r="C666">
        <v>38817</v>
      </c>
      <c r="D666">
        <v>9779</v>
      </c>
      <c r="E666">
        <v>802</v>
      </c>
      <c r="F666">
        <v>30934</v>
      </c>
    </row>
    <row r="667" spans="1:6" x14ac:dyDescent="0.3">
      <c r="A667" t="s">
        <v>56</v>
      </c>
      <c r="B667">
        <v>2016</v>
      </c>
      <c r="C667">
        <v>39192</v>
      </c>
      <c r="D667">
        <v>9501</v>
      </c>
      <c r="E667">
        <v>805</v>
      </c>
      <c r="F667">
        <v>41875</v>
      </c>
    </row>
    <row r="668" spans="1:6" x14ac:dyDescent="0.3">
      <c r="A668" t="s">
        <v>56</v>
      </c>
      <c r="B668">
        <v>2017</v>
      </c>
      <c r="C668">
        <v>42768</v>
      </c>
      <c r="D668">
        <v>10477</v>
      </c>
      <c r="E668">
        <v>1215</v>
      </c>
      <c r="F668">
        <v>45198</v>
      </c>
    </row>
    <row r="669" spans="1:6" x14ac:dyDescent="0.3">
      <c r="A669" t="s">
        <v>56</v>
      </c>
      <c r="B669">
        <v>2018</v>
      </c>
      <c r="C669">
        <v>43449</v>
      </c>
      <c r="D669">
        <v>11493</v>
      </c>
      <c r="E669">
        <v>1220</v>
      </c>
      <c r="F669">
        <v>51290</v>
      </c>
    </row>
    <row r="670" spans="1:6" x14ac:dyDescent="0.3">
      <c r="A670" t="s">
        <v>56</v>
      </c>
      <c r="B670">
        <v>2019</v>
      </c>
      <c r="C670">
        <v>48340</v>
      </c>
      <c r="D670">
        <v>12836</v>
      </c>
      <c r="E670">
        <v>1226</v>
      </c>
      <c r="F670">
        <v>57915</v>
      </c>
    </row>
    <row r="671" spans="1:6" x14ac:dyDescent="0.3">
      <c r="A671" t="s">
        <v>56</v>
      </c>
      <c r="B671">
        <v>2020</v>
      </c>
      <c r="C671">
        <v>49388</v>
      </c>
      <c r="D671">
        <v>15593</v>
      </c>
      <c r="E671">
        <v>1229</v>
      </c>
      <c r="F671">
        <v>64044</v>
      </c>
    </row>
    <row r="672" spans="1:6" x14ac:dyDescent="0.3">
      <c r="A672" t="s">
        <v>56</v>
      </c>
      <c r="B672">
        <v>2021</v>
      </c>
      <c r="C672">
        <v>49257</v>
      </c>
      <c r="D672">
        <v>13383</v>
      </c>
      <c r="E672">
        <v>1231</v>
      </c>
      <c r="F672">
        <v>59116</v>
      </c>
    </row>
    <row r="673" spans="1:6" x14ac:dyDescent="0.3">
      <c r="A673" t="s">
        <v>56</v>
      </c>
      <c r="B673">
        <v>2022</v>
      </c>
      <c r="C673">
        <v>60645</v>
      </c>
      <c r="D673">
        <v>15503</v>
      </c>
      <c r="E673">
        <v>1232</v>
      </c>
      <c r="F673">
        <v>61223</v>
      </c>
    </row>
    <row r="674" spans="1:6" x14ac:dyDescent="0.3">
      <c r="A674" t="s">
        <v>56</v>
      </c>
      <c r="B674">
        <v>2023</v>
      </c>
      <c r="C674">
        <v>70919</v>
      </c>
      <c r="D674">
        <v>19477</v>
      </c>
      <c r="E674">
        <v>1243</v>
      </c>
      <c r="F674">
        <v>67912</v>
      </c>
    </row>
    <row r="675" spans="1:6" x14ac:dyDescent="0.3">
      <c r="A675" t="s">
        <v>56</v>
      </c>
      <c r="B675">
        <v>2024</v>
      </c>
      <c r="C675">
        <v>70866</v>
      </c>
      <c r="D675">
        <v>20751</v>
      </c>
      <c r="E675">
        <v>1248</v>
      </c>
      <c r="F675">
        <v>73259</v>
      </c>
    </row>
    <row r="676" spans="1:6" x14ac:dyDescent="0.3">
      <c r="A676" t="s">
        <v>57</v>
      </c>
      <c r="C676">
        <v>50019</v>
      </c>
      <c r="D676">
        <v>5060</v>
      </c>
    </row>
    <row r="677" spans="1:6" x14ac:dyDescent="0.3">
      <c r="A677" t="s">
        <v>57</v>
      </c>
      <c r="B677">
        <v>2013</v>
      </c>
      <c r="C677">
        <v>19807</v>
      </c>
      <c r="D677">
        <v>2952</v>
      </c>
      <c r="E677">
        <v>93</v>
      </c>
      <c r="F677">
        <v>21159</v>
      </c>
    </row>
    <row r="678" spans="1:6" x14ac:dyDescent="0.3">
      <c r="A678" t="s">
        <v>57</v>
      </c>
      <c r="B678">
        <v>2014</v>
      </c>
      <c r="C678">
        <v>19286</v>
      </c>
      <c r="D678">
        <v>1896</v>
      </c>
      <c r="E678">
        <v>91</v>
      </c>
      <c r="F678">
        <v>22519</v>
      </c>
    </row>
    <row r="679" spans="1:6" x14ac:dyDescent="0.3">
      <c r="A679" t="s">
        <v>57</v>
      </c>
      <c r="B679">
        <v>2015</v>
      </c>
      <c r="C679">
        <v>19401</v>
      </c>
      <c r="D679">
        <v>-1452</v>
      </c>
      <c r="E679">
        <v>91</v>
      </c>
      <c r="F679">
        <v>20951</v>
      </c>
    </row>
    <row r="680" spans="1:6" x14ac:dyDescent="0.3">
      <c r="A680" t="s">
        <v>57</v>
      </c>
      <c r="B680">
        <v>2016</v>
      </c>
      <c r="C680">
        <v>19469</v>
      </c>
      <c r="D680">
        <v>-3087</v>
      </c>
      <c r="E680">
        <v>91</v>
      </c>
      <c r="F680">
        <v>32345</v>
      </c>
    </row>
    <row r="681" spans="1:6" x14ac:dyDescent="0.3">
      <c r="A681" t="s">
        <v>57</v>
      </c>
      <c r="B681">
        <v>2017</v>
      </c>
      <c r="C681">
        <v>21603</v>
      </c>
      <c r="D681">
        <v>-2538</v>
      </c>
      <c r="E681">
        <v>92</v>
      </c>
      <c r="F681">
        <v>29959</v>
      </c>
    </row>
    <row r="682" spans="1:6" x14ac:dyDescent="0.3">
      <c r="A682" t="s">
        <v>57</v>
      </c>
      <c r="B682">
        <v>2018</v>
      </c>
      <c r="C682">
        <v>33286</v>
      </c>
      <c r="D682">
        <v>-1616</v>
      </c>
      <c r="E682">
        <v>97</v>
      </c>
      <c r="F682">
        <v>30288</v>
      </c>
    </row>
    <row r="683" spans="1:6" x14ac:dyDescent="0.3">
      <c r="A683" t="s">
        <v>57</v>
      </c>
      <c r="B683">
        <v>2019</v>
      </c>
      <c r="C683">
        <v>46966</v>
      </c>
      <c r="D683">
        <v>-2412</v>
      </c>
      <c r="E683">
        <v>97</v>
      </c>
      <c r="F683">
        <v>31988</v>
      </c>
    </row>
    <row r="684" spans="1:6" x14ac:dyDescent="0.3">
      <c r="A684" t="s">
        <v>57</v>
      </c>
      <c r="B684">
        <v>2020</v>
      </c>
      <c r="C684">
        <v>37923</v>
      </c>
      <c r="D684">
        <v>-400</v>
      </c>
      <c r="E684">
        <v>102</v>
      </c>
      <c r="F684">
        <v>32035</v>
      </c>
    </row>
    <row r="685" spans="1:6" x14ac:dyDescent="0.3">
      <c r="A685" t="s">
        <v>57</v>
      </c>
      <c r="B685">
        <v>2021</v>
      </c>
      <c r="C685">
        <v>34579</v>
      </c>
      <c r="D685">
        <v>4267</v>
      </c>
      <c r="E685">
        <v>102</v>
      </c>
      <c r="F685">
        <v>31713</v>
      </c>
    </row>
    <row r="686" spans="1:6" x14ac:dyDescent="0.3">
      <c r="A686" t="s">
        <v>57</v>
      </c>
      <c r="B686">
        <v>2022</v>
      </c>
      <c r="C686">
        <v>51166</v>
      </c>
      <c r="D686">
        <v>6766</v>
      </c>
      <c r="E686">
        <v>101</v>
      </c>
      <c r="F686">
        <v>35524</v>
      </c>
    </row>
    <row r="687" spans="1:6" x14ac:dyDescent="0.3">
      <c r="A687" t="s">
        <v>57</v>
      </c>
      <c r="B687">
        <v>2023</v>
      </c>
      <c r="C687">
        <v>53212</v>
      </c>
      <c r="D687">
        <v>3974</v>
      </c>
      <c r="E687">
        <v>100</v>
      </c>
      <c r="F687">
        <v>38606</v>
      </c>
    </row>
    <row r="688" spans="1:6" x14ac:dyDescent="0.3">
      <c r="A688" t="s">
        <v>57</v>
      </c>
      <c r="B688">
        <v>2024</v>
      </c>
      <c r="C688">
        <v>50354</v>
      </c>
      <c r="D688">
        <v>5943</v>
      </c>
      <c r="E688">
        <v>100</v>
      </c>
      <c r="F688">
        <v>44216</v>
      </c>
    </row>
    <row r="689" spans="1:6" x14ac:dyDescent="0.3">
      <c r="A689" t="s">
        <v>58</v>
      </c>
      <c r="C689">
        <v>1968</v>
      </c>
      <c r="D689">
        <v>1607</v>
      </c>
    </row>
    <row r="690" spans="1:6" x14ac:dyDescent="0.3">
      <c r="A690" t="s">
        <v>58</v>
      </c>
      <c r="B690">
        <v>2023</v>
      </c>
      <c r="C690">
        <v>45</v>
      </c>
      <c r="D690">
        <v>31</v>
      </c>
      <c r="E690">
        <v>2</v>
      </c>
      <c r="F690">
        <v>114118</v>
      </c>
    </row>
    <row r="691" spans="1:6" x14ac:dyDescent="0.3">
      <c r="A691" t="s">
        <v>58</v>
      </c>
      <c r="B691">
        <v>2024</v>
      </c>
      <c r="C691">
        <v>1855</v>
      </c>
      <c r="D691">
        <v>1605</v>
      </c>
      <c r="E691">
        <v>6353</v>
      </c>
      <c r="F691">
        <v>130791</v>
      </c>
    </row>
    <row r="692" spans="1:6" x14ac:dyDescent="0.3">
      <c r="A692" t="s">
        <v>59</v>
      </c>
      <c r="C692">
        <v>11416</v>
      </c>
      <c r="D692">
        <v>1988</v>
      </c>
    </row>
    <row r="693" spans="1:6" x14ac:dyDescent="0.3">
      <c r="A693" t="s">
        <v>59</v>
      </c>
      <c r="B693">
        <v>2013</v>
      </c>
      <c r="C693">
        <v>8870</v>
      </c>
      <c r="D693">
        <v>901</v>
      </c>
      <c r="E693">
        <v>1640</v>
      </c>
      <c r="F693">
        <v>4564</v>
      </c>
    </row>
    <row r="694" spans="1:6" x14ac:dyDescent="0.3">
      <c r="A694" t="s">
        <v>59</v>
      </c>
      <c r="B694">
        <v>2014</v>
      </c>
      <c r="C694">
        <v>8648</v>
      </c>
      <c r="D694">
        <v>760</v>
      </c>
      <c r="E694">
        <v>1640</v>
      </c>
      <c r="F694">
        <v>4931</v>
      </c>
    </row>
    <row r="695" spans="1:6" x14ac:dyDescent="0.3">
      <c r="A695" t="s">
        <v>59</v>
      </c>
      <c r="B695">
        <v>2015</v>
      </c>
      <c r="C695">
        <v>9347</v>
      </c>
      <c r="D695">
        <v>1358</v>
      </c>
      <c r="E695">
        <v>1640</v>
      </c>
      <c r="F695">
        <v>5878</v>
      </c>
    </row>
    <row r="696" spans="1:6" x14ac:dyDescent="0.3">
      <c r="A696" t="s">
        <v>59</v>
      </c>
      <c r="B696">
        <v>2016</v>
      </c>
      <c r="C696">
        <v>9824</v>
      </c>
      <c r="D696">
        <v>1460</v>
      </c>
      <c r="E696">
        <v>1627</v>
      </c>
      <c r="F696">
        <v>8077</v>
      </c>
    </row>
    <row r="697" spans="1:6" x14ac:dyDescent="0.3">
      <c r="A697" t="s">
        <v>59</v>
      </c>
      <c r="B697">
        <v>2017</v>
      </c>
      <c r="C697">
        <v>8263</v>
      </c>
      <c r="D697">
        <v>623</v>
      </c>
      <c r="E697">
        <v>1628</v>
      </c>
      <c r="F697">
        <v>8741</v>
      </c>
    </row>
    <row r="698" spans="1:6" x14ac:dyDescent="0.3">
      <c r="A698" t="s">
        <v>59</v>
      </c>
      <c r="B698">
        <v>2018</v>
      </c>
      <c r="C698">
        <v>8049</v>
      </c>
      <c r="D698">
        <v>85</v>
      </c>
      <c r="E698">
        <v>1640</v>
      </c>
      <c r="F698">
        <v>9470</v>
      </c>
    </row>
    <row r="699" spans="1:6" x14ac:dyDescent="0.3">
      <c r="A699" t="s">
        <v>59</v>
      </c>
      <c r="B699">
        <v>2019</v>
      </c>
      <c r="C699">
        <v>9138</v>
      </c>
      <c r="D699">
        <v>684</v>
      </c>
      <c r="E699">
        <v>1641</v>
      </c>
      <c r="F699">
        <v>10181</v>
      </c>
    </row>
    <row r="700" spans="1:6" x14ac:dyDescent="0.3">
      <c r="A700" t="s">
        <v>59</v>
      </c>
      <c r="B700">
        <v>2020</v>
      </c>
      <c r="C700">
        <v>8273</v>
      </c>
      <c r="D700">
        <v>1081</v>
      </c>
      <c r="E700">
        <v>1642</v>
      </c>
      <c r="F700">
        <v>10004</v>
      </c>
    </row>
    <row r="701" spans="1:6" x14ac:dyDescent="0.3">
      <c r="A701" t="s">
        <v>59</v>
      </c>
      <c r="B701">
        <v>2021</v>
      </c>
      <c r="C701">
        <v>6922</v>
      </c>
      <c r="D701">
        <v>823</v>
      </c>
      <c r="E701">
        <v>1642</v>
      </c>
      <c r="F701">
        <v>12865</v>
      </c>
    </row>
    <row r="702" spans="1:6" x14ac:dyDescent="0.3">
      <c r="A702" t="s">
        <v>59</v>
      </c>
      <c r="B702">
        <v>2022</v>
      </c>
      <c r="C702">
        <v>8167</v>
      </c>
      <c r="D702">
        <v>1743</v>
      </c>
      <c r="E702">
        <v>1640</v>
      </c>
      <c r="F702">
        <v>15775</v>
      </c>
    </row>
    <row r="703" spans="1:6" x14ac:dyDescent="0.3">
      <c r="A703" t="s">
        <v>59</v>
      </c>
      <c r="B703">
        <v>2023</v>
      </c>
      <c r="C703">
        <v>10332</v>
      </c>
      <c r="D703">
        <v>1480</v>
      </c>
      <c r="E703">
        <v>1641</v>
      </c>
      <c r="F703">
        <v>16988</v>
      </c>
    </row>
    <row r="704" spans="1:6" x14ac:dyDescent="0.3">
      <c r="A704" t="s">
        <v>59</v>
      </c>
      <c r="B704">
        <v>2024</v>
      </c>
      <c r="C704">
        <v>11486</v>
      </c>
      <c r="D704">
        <v>1725</v>
      </c>
      <c r="E704">
        <v>1641</v>
      </c>
      <c r="F704">
        <v>19191</v>
      </c>
    </row>
    <row r="705" spans="1:6" x14ac:dyDescent="0.3">
      <c r="A705" t="s">
        <v>60</v>
      </c>
      <c r="C705">
        <v>170274</v>
      </c>
      <c r="D705">
        <v>3312</v>
      </c>
    </row>
    <row r="706" spans="1:6" x14ac:dyDescent="0.3">
      <c r="A706" t="s">
        <v>60</v>
      </c>
      <c r="B706">
        <v>2013</v>
      </c>
      <c r="C706">
        <v>38210</v>
      </c>
      <c r="D706">
        <v>929</v>
      </c>
      <c r="E706">
        <v>284</v>
      </c>
      <c r="F706">
        <v>16781</v>
      </c>
    </row>
    <row r="707" spans="1:6" x14ac:dyDescent="0.3">
      <c r="A707" t="s">
        <v>60</v>
      </c>
      <c r="B707">
        <v>2014</v>
      </c>
      <c r="C707">
        <v>51220</v>
      </c>
      <c r="D707">
        <v>402</v>
      </c>
      <c r="E707">
        <v>303</v>
      </c>
      <c r="F707">
        <v>20871</v>
      </c>
    </row>
    <row r="708" spans="1:6" x14ac:dyDescent="0.3">
      <c r="A708" t="s">
        <v>60</v>
      </c>
      <c r="B708">
        <v>2015</v>
      </c>
      <c r="C708">
        <v>52972</v>
      </c>
      <c r="D708">
        <v>1722</v>
      </c>
      <c r="E708">
        <v>303</v>
      </c>
      <c r="F708">
        <v>21987</v>
      </c>
    </row>
    <row r="709" spans="1:6" x14ac:dyDescent="0.3">
      <c r="A709" t="s">
        <v>60</v>
      </c>
      <c r="B709">
        <v>2016</v>
      </c>
      <c r="C709">
        <v>41546</v>
      </c>
      <c r="D709">
        <v>-481</v>
      </c>
      <c r="E709">
        <v>301</v>
      </c>
      <c r="F709">
        <v>18665</v>
      </c>
    </row>
    <row r="710" spans="1:6" x14ac:dyDescent="0.3">
      <c r="A710" t="s">
        <v>60</v>
      </c>
      <c r="B710">
        <v>2017</v>
      </c>
      <c r="C710">
        <v>55604</v>
      </c>
      <c r="D710">
        <v>3467</v>
      </c>
      <c r="E710">
        <v>301</v>
      </c>
      <c r="F710">
        <v>22346</v>
      </c>
    </row>
    <row r="711" spans="1:6" x14ac:dyDescent="0.3">
      <c r="A711" t="s">
        <v>60</v>
      </c>
      <c r="B711">
        <v>2018</v>
      </c>
      <c r="C711">
        <v>71933</v>
      </c>
      <c r="D711">
        <v>6113</v>
      </c>
      <c r="E711">
        <v>302</v>
      </c>
      <c r="F711">
        <v>27696</v>
      </c>
    </row>
    <row r="712" spans="1:6" x14ac:dyDescent="0.3">
      <c r="A712" t="s">
        <v>60</v>
      </c>
      <c r="B712">
        <v>2019</v>
      </c>
      <c r="C712">
        <v>84757</v>
      </c>
      <c r="D712">
        <v>7524</v>
      </c>
      <c r="E712">
        <v>301</v>
      </c>
      <c r="F712">
        <v>34494</v>
      </c>
    </row>
    <row r="713" spans="1:6" x14ac:dyDescent="0.3">
      <c r="A713" t="s">
        <v>60</v>
      </c>
      <c r="B713">
        <v>2020</v>
      </c>
      <c r="C713">
        <v>73326</v>
      </c>
      <c r="D713">
        <v>3919</v>
      </c>
      <c r="E713">
        <v>301</v>
      </c>
      <c r="F713">
        <v>36298</v>
      </c>
    </row>
    <row r="714" spans="1:6" x14ac:dyDescent="0.3">
      <c r="A714" t="s">
        <v>60</v>
      </c>
      <c r="B714">
        <v>2021</v>
      </c>
      <c r="C714">
        <v>79839</v>
      </c>
      <c r="D714">
        <v>7873</v>
      </c>
      <c r="E714">
        <v>302</v>
      </c>
      <c r="F714">
        <v>46462</v>
      </c>
    </row>
    <row r="715" spans="1:6" x14ac:dyDescent="0.3">
      <c r="A715" t="s">
        <v>60</v>
      </c>
      <c r="B715">
        <v>2022</v>
      </c>
      <c r="C715">
        <v>146371</v>
      </c>
      <c r="D715">
        <v>20938</v>
      </c>
      <c r="E715">
        <v>301</v>
      </c>
      <c r="F715">
        <v>66996</v>
      </c>
    </row>
    <row r="716" spans="1:6" x14ac:dyDescent="0.3">
      <c r="A716" t="s">
        <v>60</v>
      </c>
      <c r="B716">
        <v>2023</v>
      </c>
      <c r="C716">
        <v>165960</v>
      </c>
      <c r="D716">
        <v>4139</v>
      </c>
      <c r="E716">
        <v>301</v>
      </c>
      <c r="F716">
        <v>65394</v>
      </c>
    </row>
    <row r="717" spans="1:6" x14ac:dyDescent="0.3">
      <c r="A717" t="s">
        <v>60</v>
      </c>
      <c r="B717">
        <v>2024</v>
      </c>
      <c r="C717">
        <v>175006</v>
      </c>
      <c r="D717">
        <v>8973</v>
      </c>
      <c r="E717">
        <v>305</v>
      </c>
      <c r="F717">
        <v>77364</v>
      </c>
    </row>
    <row r="718" spans="1:6" x14ac:dyDescent="0.3">
      <c r="A718" t="s">
        <v>61</v>
      </c>
      <c r="C718">
        <v>64053</v>
      </c>
      <c r="D718">
        <v>22530</v>
      </c>
    </row>
    <row r="719" spans="1:6" x14ac:dyDescent="0.3">
      <c r="A719" t="s">
        <v>61</v>
      </c>
      <c r="B719">
        <v>2013</v>
      </c>
      <c r="C719">
        <v>10838</v>
      </c>
      <c r="D719">
        <v>2238</v>
      </c>
      <c r="E719">
        <v>373</v>
      </c>
      <c r="F719">
        <v>14894</v>
      </c>
    </row>
    <row r="720" spans="1:6" x14ac:dyDescent="0.3">
      <c r="A720" t="s">
        <v>61</v>
      </c>
      <c r="B720">
        <v>2014</v>
      </c>
      <c r="C720">
        <v>11986</v>
      </c>
      <c r="D720">
        <v>2527</v>
      </c>
      <c r="E720">
        <v>385</v>
      </c>
      <c r="F720">
        <v>18699</v>
      </c>
    </row>
    <row r="721" spans="1:6" x14ac:dyDescent="0.3">
      <c r="A721" t="s">
        <v>61</v>
      </c>
      <c r="B721">
        <v>2015</v>
      </c>
      <c r="C721">
        <v>13319</v>
      </c>
      <c r="D721">
        <v>3105</v>
      </c>
      <c r="E721">
        <v>386</v>
      </c>
      <c r="F721">
        <v>21770</v>
      </c>
    </row>
    <row r="722" spans="1:6" x14ac:dyDescent="0.3">
      <c r="A722" t="s">
        <v>61</v>
      </c>
      <c r="B722">
        <v>2016</v>
      </c>
      <c r="C722">
        <v>20402</v>
      </c>
      <c r="D722">
        <v>3524</v>
      </c>
      <c r="E722">
        <v>917</v>
      </c>
      <c r="F722">
        <v>32447</v>
      </c>
    </row>
    <row r="723" spans="1:6" x14ac:dyDescent="0.3">
      <c r="A723" t="s">
        <v>61</v>
      </c>
      <c r="B723">
        <v>2017</v>
      </c>
      <c r="C723">
        <v>22324</v>
      </c>
      <c r="D723">
        <v>5019</v>
      </c>
      <c r="E723">
        <v>920</v>
      </c>
      <c r="F723">
        <v>37572</v>
      </c>
    </row>
    <row r="724" spans="1:6" x14ac:dyDescent="0.3">
      <c r="A724" t="s">
        <v>61</v>
      </c>
      <c r="B724">
        <v>2018</v>
      </c>
      <c r="C724">
        <v>25131</v>
      </c>
      <c r="D724">
        <v>6258</v>
      </c>
      <c r="E724">
        <v>953</v>
      </c>
      <c r="F724">
        <v>49535</v>
      </c>
    </row>
    <row r="725" spans="1:6" x14ac:dyDescent="0.3">
      <c r="A725" t="s">
        <v>61</v>
      </c>
      <c r="B725">
        <v>2019</v>
      </c>
      <c r="C725">
        <v>29831</v>
      </c>
      <c r="D725">
        <v>7204</v>
      </c>
      <c r="E725">
        <v>954</v>
      </c>
      <c r="F725">
        <v>56827</v>
      </c>
    </row>
    <row r="726" spans="1:6" x14ac:dyDescent="0.3">
      <c r="A726" t="s">
        <v>61</v>
      </c>
      <c r="B726">
        <v>2020</v>
      </c>
      <c r="C726">
        <v>33474</v>
      </c>
      <c r="D726">
        <v>8593</v>
      </c>
      <c r="E726">
        <v>957</v>
      </c>
      <c r="F726">
        <v>65680</v>
      </c>
    </row>
    <row r="727" spans="1:6" x14ac:dyDescent="0.3">
      <c r="A727" t="s">
        <v>61</v>
      </c>
      <c r="B727">
        <v>2021</v>
      </c>
      <c r="C727">
        <v>32820</v>
      </c>
      <c r="D727">
        <v>9990</v>
      </c>
      <c r="E727">
        <v>991</v>
      </c>
      <c r="F727">
        <v>83348</v>
      </c>
    </row>
    <row r="728" spans="1:6" x14ac:dyDescent="0.3">
      <c r="A728" t="s">
        <v>61</v>
      </c>
      <c r="B728">
        <v>2022</v>
      </c>
      <c r="C728">
        <v>33741</v>
      </c>
      <c r="D728">
        <v>12089</v>
      </c>
      <c r="E728">
        <v>992</v>
      </c>
      <c r="F728">
        <v>95673</v>
      </c>
    </row>
    <row r="729" spans="1:6" x14ac:dyDescent="0.3">
      <c r="A729" t="s">
        <v>61</v>
      </c>
      <c r="B729">
        <v>2023</v>
      </c>
      <c r="C729">
        <v>42151</v>
      </c>
      <c r="D729">
        <v>14925</v>
      </c>
      <c r="E729">
        <v>993</v>
      </c>
      <c r="F729">
        <v>110821</v>
      </c>
    </row>
    <row r="730" spans="1:6" x14ac:dyDescent="0.3">
      <c r="A730" t="s">
        <v>61</v>
      </c>
      <c r="B730">
        <v>2024</v>
      </c>
      <c r="C730">
        <v>56237</v>
      </c>
      <c r="D730">
        <v>18213</v>
      </c>
      <c r="E730">
        <v>994</v>
      </c>
      <c r="F730">
        <v>128978</v>
      </c>
    </row>
    <row r="731" spans="1:6" x14ac:dyDescent="0.3">
      <c r="A731" t="s">
        <v>62</v>
      </c>
      <c r="C731">
        <v>896106</v>
      </c>
      <c r="D731">
        <v>41468</v>
      </c>
    </row>
    <row r="732" spans="1:6" x14ac:dyDescent="0.3">
      <c r="A732" t="s">
        <v>62</v>
      </c>
      <c r="B732">
        <v>2019</v>
      </c>
      <c r="C732">
        <v>571508</v>
      </c>
      <c r="D732">
        <v>2627</v>
      </c>
      <c r="E732">
        <v>100</v>
      </c>
      <c r="F732">
        <v>710</v>
      </c>
    </row>
    <row r="733" spans="1:6" x14ac:dyDescent="0.3">
      <c r="A733" t="s">
        <v>62</v>
      </c>
      <c r="B733">
        <v>2020</v>
      </c>
      <c r="C733">
        <v>628043</v>
      </c>
      <c r="D733">
        <v>2710</v>
      </c>
      <c r="E733">
        <v>100</v>
      </c>
      <c r="F733">
        <v>902</v>
      </c>
    </row>
    <row r="734" spans="1:6" x14ac:dyDescent="0.3">
      <c r="A734" t="s">
        <v>62</v>
      </c>
      <c r="B734">
        <v>2021</v>
      </c>
      <c r="C734">
        <v>690914</v>
      </c>
      <c r="D734">
        <v>2974</v>
      </c>
      <c r="E734">
        <v>100</v>
      </c>
      <c r="F734">
        <v>6784</v>
      </c>
    </row>
    <row r="735" spans="1:6" x14ac:dyDescent="0.3">
      <c r="A735" t="s">
        <v>62</v>
      </c>
      <c r="B735">
        <v>2022</v>
      </c>
      <c r="C735">
        <v>723606</v>
      </c>
      <c r="D735">
        <v>4125</v>
      </c>
      <c r="E735">
        <v>6325</v>
      </c>
      <c r="F735">
        <v>5013</v>
      </c>
    </row>
    <row r="736" spans="1:6" x14ac:dyDescent="0.3">
      <c r="A736" t="s">
        <v>62</v>
      </c>
      <c r="B736">
        <v>2023</v>
      </c>
      <c r="C736">
        <v>784628</v>
      </c>
      <c r="D736">
        <v>35997</v>
      </c>
      <c r="E736">
        <v>6325</v>
      </c>
      <c r="F736">
        <v>39908</v>
      </c>
    </row>
    <row r="737" spans="1:6" x14ac:dyDescent="0.3">
      <c r="A737" t="s">
        <v>62</v>
      </c>
      <c r="B737">
        <v>2024</v>
      </c>
      <c r="C737">
        <v>845966</v>
      </c>
      <c r="D737">
        <v>40916</v>
      </c>
      <c r="E737">
        <v>6325</v>
      </c>
      <c r="F737">
        <v>76422</v>
      </c>
    </row>
    <row r="738" spans="1:6" x14ac:dyDescent="0.3">
      <c r="A738" t="s">
        <v>63</v>
      </c>
      <c r="C738">
        <v>13574</v>
      </c>
      <c r="D738">
        <v>2511</v>
      </c>
    </row>
    <row r="739" spans="1:6" x14ac:dyDescent="0.3">
      <c r="A739" t="s">
        <v>63</v>
      </c>
      <c r="B739">
        <v>2011</v>
      </c>
      <c r="C739">
        <v>2173</v>
      </c>
      <c r="D739">
        <v>264</v>
      </c>
      <c r="E739">
        <v>108</v>
      </c>
      <c r="F739">
        <v>636</v>
      </c>
    </row>
    <row r="740" spans="1:6" x14ac:dyDescent="0.3">
      <c r="A740" t="s">
        <v>63</v>
      </c>
      <c r="B740">
        <v>2012</v>
      </c>
      <c r="C740">
        <v>2954</v>
      </c>
      <c r="D740">
        <v>381</v>
      </c>
      <c r="E740">
        <v>108</v>
      </c>
      <c r="F740">
        <v>1018</v>
      </c>
    </row>
    <row r="741" spans="1:6" x14ac:dyDescent="0.3">
      <c r="A741" t="s">
        <v>63</v>
      </c>
      <c r="B741">
        <v>2015</v>
      </c>
      <c r="C741">
        <v>6236</v>
      </c>
      <c r="D741">
        <v>798</v>
      </c>
      <c r="E741">
        <v>108</v>
      </c>
      <c r="F741">
        <v>3186</v>
      </c>
    </row>
    <row r="742" spans="1:6" x14ac:dyDescent="0.3">
      <c r="A742" t="s">
        <v>63</v>
      </c>
      <c r="B742">
        <v>2016</v>
      </c>
      <c r="C742">
        <v>8249</v>
      </c>
      <c r="D742">
        <v>703</v>
      </c>
      <c r="E742">
        <v>108</v>
      </c>
      <c r="F742">
        <v>3865</v>
      </c>
    </row>
    <row r="743" spans="1:6" x14ac:dyDescent="0.3">
      <c r="A743" t="s">
        <v>63</v>
      </c>
      <c r="B743">
        <v>2017</v>
      </c>
      <c r="C743">
        <v>7926</v>
      </c>
      <c r="D743">
        <v>584</v>
      </c>
      <c r="E743">
        <v>113</v>
      </c>
      <c r="F743">
        <v>3920</v>
      </c>
    </row>
    <row r="744" spans="1:6" x14ac:dyDescent="0.3">
      <c r="A744" t="s">
        <v>63</v>
      </c>
      <c r="B744">
        <v>2018</v>
      </c>
      <c r="C744">
        <v>9677</v>
      </c>
      <c r="D744">
        <v>794</v>
      </c>
      <c r="E744">
        <v>396</v>
      </c>
      <c r="F744">
        <v>4756</v>
      </c>
    </row>
    <row r="745" spans="1:6" x14ac:dyDescent="0.3">
      <c r="A745" t="s">
        <v>63</v>
      </c>
      <c r="B745">
        <v>2019</v>
      </c>
      <c r="C745">
        <v>11907</v>
      </c>
      <c r="D745">
        <v>1644</v>
      </c>
      <c r="E745">
        <v>396</v>
      </c>
      <c r="F745">
        <v>3445</v>
      </c>
    </row>
    <row r="746" spans="1:6" x14ac:dyDescent="0.3">
      <c r="A746" t="s">
        <v>63</v>
      </c>
      <c r="B746">
        <v>2020</v>
      </c>
      <c r="C746">
        <v>12443</v>
      </c>
      <c r="D746">
        <v>742</v>
      </c>
      <c r="E746">
        <v>396</v>
      </c>
      <c r="F746">
        <v>4156</v>
      </c>
    </row>
    <row r="747" spans="1:6" x14ac:dyDescent="0.3">
      <c r="A747" t="s">
        <v>63</v>
      </c>
      <c r="B747">
        <v>2021</v>
      </c>
      <c r="C747">
        <v>5449</v>
      </c>
      <c r="D747">
        <v>48</v>
      </c>
      <c r="E747">
        <v>396</v>
      </c>
      <c r="F747">
        <v>4203</v>
      </c>
    </row>
    <row r="748" spans="1:6" x14ac:dyDescent="0.3">
      <c r="A748" t="s">
        <v>63</v>
      </c>
      <c r="B748">
        <v>2022</v>
      </c>
      <c r="C748">
        <v>9233</v>
      </c>
      <c r="D748">
        <v>1208</v>
      </c>
      <c r="E748">
        <v>482</v>
      </c>
      <c r="F748">
        <v>11624</v>
      </c>
    </row>
    <row r="749" spans="1:6" x14ac:dyDescent="0.3">
      <c r="A749" t="s">
        <v>63</v>
      </c>
      <c r="B749">
        <v>2023</v>
      </c>
      <c r="C749">
        <v>9470</v>
      </c>
      <c r="D749">
        <v>490</v>
      </c>
      <c r="E749">
        <v>482</v>
      </c>
      <c r="F749">
        <v>12181</v>
      </c>
    </row>
    <row r="750" spans="1:6" x14ac:dyDescent="0.3">
      <c r="A750" t="s">
        <v>63</v>
      </c>
      <c r="B750">
        <v>2024</v>
      </c>
      <c r="C750">
        <v>10316</v>
      </c>
      <c r="D750">
        <v>1554</v>
      </c>
      <c r="E750">
        <v>994</v>
      </c>
      <c r="F750">
        <v>16475</v>
      </c>
    </row>
    <row r="751" spans="1:6" x14ac:dyDescent="0.3">
      <c r="A751" t="s">
        <v>64</v>
      </c>
      <c r="C751">
        <v>238881</v>
      </c>
      <c r="D751">
        <v>16150</v>
      </c>
    </row>
    <row r="752" spans="1:6" x14ac:dyDescent="0.3">
      <c r="A752" t="s">
        <v>64</v>
      </c>
      <c r="B752">
        <v>2013</v>
      </c>
      <c r="C752">
        <v>74426</v>
      </c>
      <c r="D752">
        <v>5291</v>
      </c>
      <c r="E752">
        <v>16</v>
      </c>
      <c r="F752">
        <v>1323</v>
      </c>
    </row>
    <row r="753" spans="1:6" x14ac:dyDescent="0.3">
      <c r="A753" t="s">
        <v>64</v>
      </c>
      <c r="B753">
        <v>2014</v>
      </c>
      <c r="C753">
        <v>85054</v>
      </c>
      <c r="D753">
        <v>4885</v>
      </c>
      <c r="E753">
        <v>16</v>
      </c>
      <c r="F753">
        <v>1594</v>
      </c>
    </row>
    <row r="754" spans="1:6" x14ac:dyDescent="0.3">
      <c r="A754" t="s">
        <v>64</v>
      </c>
      <c r="B754">
        <v>2015</v>
      </c>
      <c r="C754">
        <v>91929</v>
      </c>
      <c r="D754">
        <v>4966</v>
      </c>
      <c r="E754">
        <v>16</v>
      </c>
      <c r="F754">
        <v>2010</v>
      </c>
    </row>
    <row r="755" spans="1:6" x14ac:dyDescent="0.3">
      <c r="A755" t="s">
        <v>64</v>
      </c>
      <c r="B755">
        <v>2016</v>
      </c>
      <c r="C755">
        <v>101122</v>
      </c>
      <c r="D755">
        <v>4592</v>
      </c>
      <c r="E755">
        <v>17</v>
      </c>
      <c r="F755">
        <v>2108</v>
      </c>
    </row>
    <row r="756" spans="1:6" x14ac:dyDescent="0.3">
      <c r="A756" t="s">
        <v>64</v>
      </c>
      <c r="B756">
        <v>2017</v>
      </c>
      <c r="C756">
        <v>109312</v>
      </c>
      <c r="D756">
        <v>6486</v>
      </c>
      <c r="E756">
        <v>17</v>
      </c>
      <c r="F756">
        <v>3127</v>
      </c>
    </row>
    <row r="757" spans="1:6" x14ac:dyDescent="0.3">
      <c r="A757" t="s">
        <v>64</v>
      </c>
      <c r="B757">
        <v>2018</v>
      </c>
      <c r="C757">
        <v>119683</v>
      </c>
      <c r="D757">
        <v>8004</v>
      </c>
      <c r="E757">
        <v>17</v>
      </c>
      <c r="F757">
        <v>3843</v>
      </c>
    </row>
    <row r="758" spans="1:6" x14ac:dyDescent="0.3">
      <c r="A758" t="s">
        <v>64</v>
      </c>
      <c r="B758">
        <v>2019</v>
      </c>
      <c r="C758">
        <v>135220</v>
      </c>
      <c r="D758">
        <v>10217</v>
      </c>
      <c r="E758">
        <v>17</v>
      </c>
      <c r="F758">
        <v>4876</v>
      </c>
    </row>
    <row r="759" spans="1:6" x14ac:dyDescent="0.3">
      <c r="A759" t="s">
        <v>64</v>
      </c>
      <c r="B759">
        <v>2020</v>
      </c>
      <c r="C759">
        <v>145452</v>
      </c>
      <c r="D759">
        <v>10894</v>
      </c>
      <c r="E759">
        <v>17</v>
      </c>
      <c r="F759">
        <v>5387</v>
      </c>
    </row>
    <row r="760" spans="1:6" x14ac:dyDescent="0.3">
      <c r="A760" t="s">
        <v>64</v>
      </c>
      <c r="B760">
        <v>2021</v>
      </c>
      <c r="C760">
        <v>135979</v>
      </c>
      <c r="D760">
        <v>12921</v>
      </c>
      <c r="E760">
        <v>18</v>
      </c>
      <c r="F760">
        <v>7286</v>
      </c>
    </row>
    <row r="761" spans="1:6" x14ac:dyDescent="0.3">
      <c r="A761" t="s">
        <v>64</v>
      </c>
      <c r="B761">
        <v>2022</v>
      </c>
      <c r="C761">
        <v>156521</v>
      </c>
      <c r="D761">
        <v>10419</v>
      </c>
      <c r="E761">
        <v>30</v>
      </c>
      <c r="F761">
        <v>14258</v>
      </c>
    </row>
    <row r="762" spans="1:6" x14ac:dyDescent="0.3">
      <c r="A762" t="s">
        <v>64</v>
      </c>
      <c r="B762">
        <v>2023</v>
      </c>
      <c r="C762">
        <v>183341</v>
      </c>
      <c r="D762">
        <v>12531</v>
      </c>
      <c r="E762">
        <v>30</v>
      </c>
      <c r="F762">
        <v>16562</v>
      </c>
    </row>
    <row r="763" spans="1:6" x14ac:dyDescent="0.3">
      <c r="A763" t="s">
        <v>64</v>
      </c>
      <c r="B763">
        <v>2024</v>
      </c>
      <c r="C763">
        <v>221113</v>
      </c>
      <c r="D763">
        <v>15547</v>
      </c>
      <c r="E763">
        <v>30</v>
      </c>
      <c r="F763">
        <v>19988</v>
      </c>
    </row>
    <row r="764" spans="1:6" x14ac:dyDescent="0.3">
      <c r="A764" t="s">
        <v>65</v>
      </c>
      <c r="C764">
        <v>37129</v>
      </c>
      <c r="D764">
        <v>4574</v>
      </c>
    </row>
    <row r="765" spans="1:6" x14ac:dyDescent="0.3">
      <c r="A765" t="s">
        <v>65</v>
      </c>
      <c r="B765">
        <v>2013</v>
      </c>
      <c r="C765">
        <v>3851</v>
      </c>
      <c r="D765">
        <v>562</v>
      </c>
      <c r="E765">
        <v>16</v>
      </c>
      <c r="F765">
        <v>1323</v>
      </c>
    </row>
    <row r="766" spans="1:6" x14ac:dyDescent="0.3">
      <c r="A766" t="s">
        <v>65</v>
      </c>
      <c r="B766">
        <v>2014</v>
      </c>
      <c r="C766">
        <v>4920</v>
      </c>
      <c r="D766">
        <v>996</v>
      </c>
      <c r="E766">
        <v>16</v>
      </c>
      <c r="F766">
        <v>1594</v>
      </c>
    </row>
    <row r="767" spans="1:6" x14ac:dyDescent="0.3">
      <c r="A767" t="s">
        <v>65</v>
      </c>
      <c r="B767">
        <v>2015</v>
      </c>
      <c r="C767">
        <v>4978</v>
      </c>
      <c r="D767">
        <v>769</v>
      </c>
      <c r="E767">
        <v>16</v>
      </c>
      <c r="F767">
        <v>2010</v>
      </c>
    </row>
    <row r="768" spans="1:6" x14ac:dyDescent="0.3">
      <c r="A768" t="s">
        <v>65</v>
      </c>
      <c r="B768">
        <v>2016</v>
      </c>
      <c r="C768">
        <v>5846</v>
      </c>
      <c r="D768">
        <v>836</v>
      </c>
      <c r="E768">
        <v>17</v>
      </c>
      <c r="F768">
        <v>2108</v>
      </c>
    </row>
    <row r="769" spans="1:6" x14ac:dyDescent="0.3">
      <c r="A769" t="s">
        <v>65</v>
      </c>
      <c r="B769">
        <v>2017</v>
      </c>
      <c r="C769">
        <v>6501</v>
      </c>
      <c r="D769">
        <v>971</v>
      </c>
      <c r="E769">
        <v>17</v>
      </c>
      <c r="F769">
        <v>3127</v>
      </c>
    </row>
    <row r="770" spans="1:6" x14ac:dyDescent="0.3">
      <c r="A770" t="s">
        <v>65</v>
      </c>
      <c r="B770">
        <v>2018</v>
      </c>
      <c r="C770">
        <v>7306</v>
      </c>
      <c r="D770">
        <v>1112</v>
      </c>
      <c r="E770">
        <v>17</v>
      </c>
      <c r="F770">
        <v>3843</v>
      </c>
    </row>
    <row r="771" spans="1:6" x14ac:dyDescent="0.3">
      <c r="A771" t="s">
        <v>65</v>
      </c>
      <c r="B771">
        <v>2019</v>
      </c>
      <c r="C771">
        <v>9446</v>
      </c>
      <c r="D771">
        <v>1516</v>
      </c>
      <c r="E771">
        <v>17</v>
      </c>
      <c r="F771">
        <v>4876</v>
      </c>
    </row>
    <row r="772" spans="1:6" x14ac:dyDescent="0.3">
      <c r="A772" t="s">
        <v>65</v>
      </c>
      <c r="B772">
        <v>2020</v>
      </c>
      <c r="C772">
        <v>10879</v>
      </c>
      <c r="D772">
        <v>1520</v>
      </c>
      <c r="E772">
        <v>17</v>
      </c>
      <c r="F772">
        <v>5387</v>
      </c>
    </row>
    <row r="773" spans="1:6" x14ac:dyDescent="0.3">
      <c r="A773" t="s">
        <v>65</v>
      </c>
      <c r="B773">
        <v>2021</v>
      </c>
      <c r="C773">
        <v>12370</v>
      </c>
      <c r="D773">
        <v>1938</v>
      </c>
      <c r="E773">
        <v>18</v>
      </c>
      <c r="F773">
        <v>7286</v>
      </c>
    </row>
    <row r="774" spans="1:6" x14ac:dyDescent="0.3">
      <c r="A774" t="s">
        <v>65</v>
      </c>
      <c r="B774">
        <v>2022</v>
      </c>
      <c r="C774">
        <v>26109</v>
      </c>
      <c r="D774">
        <v>3950</v>
      </c>
      <c r="E774">
        <v>30</v>
      </c>
      <c r="F774">
        <v>14258</v>
      </c>
    </row>
    <row r="775" spans="1:6" x14ac:dyDescent="0.3">
      <c r="A775" t="s">
        <v>65</v>
      </c>
      <c r="B775">
        <v>2023</v>
      </c>
      <c r="C775">
        <v>33183</v>
      </c>
      <c r="D775">
        <v>4410</v>
      </c>
      <c r="E775">
        <v>30</v>
      </c>
      <c r="F775">
        <v>16562</v>
      </c>
    </row>
    <row r="776" spans="1:6" x14ac:dyDescent="0.3">
      <c r="A776" t="s">
        <v>65</v>
      </c>
      <c r="B776">
        <v>2024</v>
      </c>
      <c r="C776">
        <v>35517</v>
      </c>
      <c r="D776">
        <v>4585</v>
      </c>
      <c r="E776">
        <v>30</v>
      </c>
      <c r="F776">
        <v>19988</v>
      </c>
    </row>
    <row r="777" spans="1:6" x14ac:dyDescent="0.3">
      <c r="A777" t="s">
        <v>66</v>
      </c>
      <c r="C777">
        <v>145893</v>
      </c>
      <c r="D777">
        <v>13009</v>
      </c>
    </row>
    <row r="778" spans="1:6" x14ac:dyDescent="0.3">
      <c r="A778" t="s">
        <v>66</v>
      </c>
      <c r="B778">
        <v>2013</v>
      </c>
      <c r="C778">
        <v>68693</v>
      </c>
      <c r="D778">
        <v>4129</v>
      </c>
      <c r="E778">
        <v>295</v>
      </c>
      <c r="F778">
        <v>19666</v>
      </c>
    </row>
    <row r="779" spans="1:6" x14ac:dyDescent="0.3">
      <c r="A779" t="s">
        <v>66</v>
      </c>
      <c r="B779">
        <v>2014</v>
      </c>
      <c r="C779">
        <v>74001</v>
      </c>
      <c r="D779">
        <v>5154</v>
      </c>
      <c r="E779">
        <v>295</v>
      </c>
      <c r="F779">
        <v>23012</v>
      </c>
    </row>
    <row r="780" spans="1:6" x14ac:dyDescent="0.3">
      <c r="A780" t="s">
        <v>66</v>
      </c>
      <c r="B780">
        <v>2015</v>
      </c>
      <c r="C780">
        <v>71448</v>
      </c>
      <c r="D780">
        <v>3381</v>
      </c>
      <c r="E780">
        <v>296</v>
      </c>
      <c r="F780">
        <v>25561</v>
      </c>
    </row>
    <row r="781" spans="1:6" x14ac:dyDescent="0.3">
      <c r="A781" t="s">
        <v>66</v>
      </c>
      <c r="B781">
        <v>2016</v>
      </c>
      <c r="C781">
        <v>75841</v>
      </c>
      <c r="D781">
        <v>3554</v>
      </c>
      <c r="E781">
        <v>270</v>
      </c>
      <c r="F781">
        <v>26222</v>
      </c>
    </row>
    <row r="782" spans="1:6" x14ac:dyDescent="0.3">
      <c r="A782" t="s">
        <v>66</v>
      </c>
      <c r="B782">
        <v>2017</v>
      </c>
      <c r="C782">
        <v>83773</v>
      </c>
      <c r="D782">
        <v>4051</v>
      </c>
      <c r="E782">
        <v>311</v>
      </c>
      <c r="F782">
        <v>29467</v>
      </c>
    </row>
    <row r="783" spans="1:6" x14ac:dyDescent="0.3">
      <c r="A783" t="s">
        <v>66</v>
      </c>
      <c r="B783">
        <v>2018</v>
      </c>
      <c r="C783">
        <v>92094</v>
      </c>
      <c r="D783">
        <v>7958</v>
      </c>
      <c r="E783">
        <v>543</v>
      </c>
      <c r="F783">
        <v>36232</v>
      </c>
    </row>
    <row r="784" spans="1:6" x14ac:dyDescent="0.3">
      <c r="A784" t="s">
        <v>66</v>
      </c>
      <c r="B784">
        <v>2019</v>
      </c>
      <c r="C784">
        <v>104721</v>
      </c>
      <c r="D784">
        <v>6017</v>
      </c>
      <c r="E784">
        <v>544</v>
      </c>
      <c r="F784">
        <v>39439</v>
      </c>
    </row>
    <row r="785" spans="1:6" x14ac:dyDescent="0.3">
      <c r="A785" t="s">
        <v>66</v>
      </c>
      <c r="B785">
        <v>2020</v>
      </c>
      <c r="C785">
        <v>75382</v>
      </c>
      <c r="D785">
        <v>-321</v>
      </c>
      <c r="E785">
        <v>554</v>
      </c>
      <c r="F785">
        <v>39415</v>
      </c>
    </row>
    <row r="786" spans="1:6" x14ac:dyDescent="0.3">
      <c r="A786" t="s">
        <v>66</v>
      </c>
      <c r="B786">
        <v>2021</v>
      </c>
      <c r="C786">
        <v>74278</v>
      </c>
      <c r="D786">
        <v>1512</v>
      </c>
      <c r="E786">
        <v>555</v>
      </c>
      <c r="F786">
        <v>41027</v>
      </c>
    </row>
    <row r="787" spans="1:6" x14ac:dyDescent="0.3">
      <c r="A787" t="s">
        <v>66</v>
      </c>
      <c r="B787">
        <v>2022</v>
      </c>
      <c r="C787">
        <v>90171</v>
      </c>
      <c r="D787">
        <v>7253</v>
      </c>
      <c r="E787">
        <v>556</v>
      </c>
      <c r="F787">
        <v>46567</v>
      </c>
    </row>
    <row r="788" spans="1:6" x14ac:dyDescent="0.3">
      <c r="A788" t="s">
        <v>66</v>
      </c>
      <c r="B788">
        <v>2023</v>
      </c>
      <c r="C788">
        <v>121269</v>
      </c>
      <c r="D788">
        <v>11374</v>
      </c>
      <c r="E788">
        <v>557</v>
      </c>
      <c r="F788">
        <v>55809</v>
      </c>
    </row>
    <row r="789" spans="1:6" x14ac:dyDescent="0.3">
      <c r="A789" t="s">
        <v>66</v>
      </c>
      <c r="B789">
        <v>2024</v>
      </c>
      <c r="C789">
        <v>139078</v>
      </c>
      <c r="D789">
        <v>12270</v>
      </c>
      <c r="E789">
        <v>557</v>
      </c>
      <c r="F789">
        <v>65633</v>
      </c>
    </row>
    <row r="790" spans="1:6" x14ac:dyDescent="0.3">
      <c r="A790" t="s">
        <v>67</v>
      </c>
      <c r="C790">
        <v>145213</v>
      </c>
      <c r="D790">
        <v>14021</v>
      </c>
    </row>
    <row r="791" spans="1:6" x14ac:dyDescent="0.3">
      <c r="A791" t="s">
        <v>67</v>
      </c>
      <c r="B791">
        <v>2013</v>
      </c>
      <c r="C791">
        <v>44304</v>
      </c>
      <c r="D791">
        <v>2470</v>
      </c>
      <c r="E791">
        <v>151</v>
      </c>
      <c r="F791">
        <v>18877</v>
      </c>
    </row>
    <row r="792" spans="1:6" x14ac:dyDescent="0.3">
      <c r="A792" t="s">
        <v>67</v>
      </c>
      <c r="B792">
        <v>2014</v>
      </c>
      <c r="C792">
        <v>44542</v>
      </c>
      <c r="D792">
        <v>2854</v>
      </c>
      <c r="E792">
        <v>151</v>
      </c>
      <c r="F792">
        <v>21345</v>
      </c>
    </row>
    <row r="793" spans="1:6" x14ac:dyDescent="0.3">
      <c r="A793" t="s">
        <v>67</v>
      </c>
      <c r="B793">
        <v>2015</v>
      </c>
      <c r="C793">
        <v>50801</v>
      </c>
      <c r="D793">
        <v>3809</v>
      </c>
      <c r="E793">
        <v>151</v>
      </c>
      <c r="F793">
        <v>24167</v>
      </c>
    </row>
    <row r="794" spans="1:6" x14ac:dyDescent="0.3">
      <c r="A794" t="s">
        <v>67</v>
      </c>
      <c r="B794">
        <v>2016</v>
      </c>
      <c r="C794">
        <v>57589</v>
      </c>
      <c r="D794">
        <v>5497</v>
      </c>
      <c r="E794">
        <v>151</v>
      </c>
      <c r="F794">
        <v>30465</v>
      </c>
    </row>
    <row r="795" spans="1:6" x14ac:dyDescent="0.3">
      <c r="A795" t="s">
        <v>67</v>
      </c>
      <c r="B795">
        <v>2017</v>
      </c>
      <c r="C795">
        <v>68085</v>
      </c>
      <c r="D795">
        <v>7511</v>
      </c>
      <c r="E795">
        <v>151</v>
      </c>
      <c r="F795">
        <v>36924</v>
      </c>
    </row>
    <row r="796" spans="1:6" x14ac:dyDescent="0.3">
      <c r="A796" t="s">
        <v>67</v>
      </c>
      <c r="B796">
        <v>2018</v>
      </c>
      <c r="C796">
        <v>79809</v>
      </c>
      <c r="D796">
        <v>7881</v>
      </c>
      <c r="E796">
        <v>151</v>
      </c>
      <c r="F796">
        <v>42408</v>
      </c>
    </row>
    <row r="797" spans="1:6" x14ac:dyDescent="0.3">
      <c r="A797" t="s">
        <v>67</v>
      </c>
      <c r="B797">
        <v>2019</v>
      </c>
      <c r="C797">
        <v>86068</v>
      </c>
      <c r="D797">
        <v>7651</v>
      </c>
      <c r="E797">
        <v>151</v>
      </c>
      <c r="F797">
        <v>46941</v>
      </c>
    </row>
    <row r="798" spans="1:6" x14ac:dyDescent="0.3">
      <c r="A798" t="s">
        <v>67</v>
      </c>
      <c r="B798">
        <v>2020</v>
      </c>
      <c r="C798">
        <v>75660</v>
      </c>
      <c r="D798">
        <v>5678</v>
      </c>
      <c r="E798">
        <v>151</v>
      </c>
      <c r="F798">
        <v>49262</v>
      </c>
    </row>
    <row r="799" spans="1:6" x14ac:dyDescent="0.3">
      <c r="A799" t="s">
        <v>67</v>
      </c>
      <c r="B799">
        <v>2021</v>
      </c>
      <c r="C799">
        <v>70372</v>
      </c>
      <c r="D799">
        <v>4389</v>
      </c>
      <c r="E799">
        <v>151</v>
      </c>
      <c r="F799">
        <v>52350</v>
      </c>
    </row>
    <row r="800" spans="1:6" x14ac:dyDescent="0.3">
      <c r="A800" t="s">
        <v>67</v>
      </c>
      <c r="B800">
        <v>2022</v>
      </c>
      <c r="C800">
        <v>88330</v>
      </c>
      <c r="D800">
        <v>3880</v>
      </c>
      <c r="E800">
        <v>151</v>
      </c>
      <c r="F800">
        <v>55182</v>
      </c>
    </row>
    <row r="801" spans="1:6" x14ac:dyDescent="0.3">
      <c r="A801" t="s">
        <v>67</v>
      </c>
      <c r="B801">
        <v>2023</v>
      </c>
      <c r="C801">
        <v>118410</v>
      </c>
      <c r="D801">
        <v>8264</v>
      </c>
      <c r="E801">
        <v>157</v>
      </c>
      <c r="F801">
        <v>74443</v>
      </c>
    </row>
    <row r="802" spans="1:6" x14ac:dyDescent="0.3">
      <c r="A802" t="s">
        <v>67</v>
      </c>
      <c r="B802">
        <v>2024</v>
      </c>
      <c r="C802">
        <v>141858</v>
      </c>
      <c r="D802">
        <v>13488</v>
      </c>
      <c r="E802">
        <v>157</v>
      </c>
      <c r="F802">
        <v>85479</v>
      </c>
    </row>
    <row r="803" spans="1:6" x14ac:dyDescent="0.3">
      <c r="A803" t="s">
        <v>68</v>
      </c>
      <c r="C803">
        <v>109382</v>
      </c>
      <c r="D803">
        <v>4123</v>
      </c>
    </row>
    <row r="804" spans="1:6" x14ac:dyDescent="0.3">
      <c r="A804" t="s">
        <v>68</v>
      </c>
      <c r="B804">
        <v>2013</v>
      </c>
      <c r="C804">
        <v>25298</v>
      </c>
      <c r="D804">
        <v>452</v>
      </c>
      <c r="E804">
        <v>59</v>
      </c>
      <c r="F804">
        <v>2230</v>
      </c>
    </row>
    <row r="805" spans="1:6" x14ac:dyDescent="0.3">
      <c r="A805" t="s">
        <v>68</v>
      </c>
      <c r="B805">
        <v>2014</v>
      </c>
      <c r="C805">
        <v>30414</v>
      </c>
      <c r="D805">
        <v>1097</v>
      </c>
      <c r="E805">
        <v>88</v>
      </c>
      <c r="F805">
        <v>2871</v>
      </c>
    </row>
    <row r="806" spans="1:6" x14ac:dyDescent="0.3">
      <c r="A806" t="s">
        <v>68</v>
      </c>
      <c r="B806">
        <v>2015</v>
      </c>
      <c r="C806">
        <v>34661</v>
      </c>
      <c r="D806">
        <v>1292</v>
      </c>
      <c r="E806">
        <v>88</v>
      </c>
      <c r="F806">
        <v>3236</v>
      </c>
    </row>
    <row r="807" spans="1:6" x14ac:dyDescent="0.3">
      <c r="A807" t="s">
        <v>68</v>
      </c>
      <c r="B807">
        <v>2016</v>
      </c>
      <c r="C807">
        <v>37216</v>
      </c>
      <c r="D807">
        <v>1774</v>
      </c>
      <c r="E807">
        <v>132</v>
      </c>
      <c r="F807">
        <v>4265</v>
      </c>
    </row>
    <row r="808" spans="1:6" x14ac:dyDescent="0.3">
      <c r="A808" t="s">
        <v>68</v>
      </c>
      <c r="B808">
        <v>2017</v>
      </c>
      <c r="C808">
        <v>42376</v>
      </c>
      <c r="D808">
        <v>2172</v>
      </c>
      <c r="E808">
        <v>140</v>
      </c>
      <c r="F808">
        <v>8132</v>
      </c>
    </row>
    <row r="809" spans="1:6" x14ac:dyDescent="0.3">
      <c r="A809" t="s">
        <v>68</v>
      </c>
      <c r="B809">
        <v>2018</v>
      </c>
      <c r="C809">
        <v>56303</v>
      </c>
      <c r="D809">
        <v>2260</v>
      </c>
      <c r="E809">
        <v>210</v>
      </c>
      <c r="F809">
        <v>9674</v>
      </c>
    </row>
    <row r="810" spans="1:6" x14ac:dyDescent="0.3">
      <c r="A810" t="s">
        <v>68</v>
      </c>
      <c r="B810">
        <v>2019</v>
      </c>
      <c r="C810">
        <v>63523</v>
      </c>
      <c r="D810">
        <v>2098</v>
      </c>
      <c r="E810">
        <v>316</v>
      </c>
      <c r="F810">
        <v>10647</v>
      </c>
    </row>
    <row r="811" spans="1:6" x14ac:dyDescent="0.3">
      <c r="A811" t="s">
        <v>68</v>
      </c>
      <c r="B811">
        <v>2020</v>
      </c>
      <c r="C811">
        <v>60729</v>
      </c>
      <c r="D811">
        <v>1294</v>
      </c>
      <c r="E811">
        <v>316</v>
      </c>
      <c r="F811">
        <v>10945</v>
      </c>
    </row>
    <row r="812" spans="1:6" x14ac:dyDescent="0.3">
      <c r="A812" t="s">
        <v>68</v>
      </c>
      <c r="B812">
        <v>2021</v>
      </c>
      <c r="C812">
        <v>57370</v>
      </c>
      <c r="D812">
        <v>1569</v>
      </c>
      <c r="E812">
        <v>316</v>
      </c>
      <c r="F812">
        <v>12245</v>
      </c>
    </row>
    <row r="813" spans="1:6" x14ac:dyDescent="0.3">
      <c r="A813" t="s">
        <v>68</v>
      </c>
      <c r="B813">
        <v>2022</v>
      </c>
      <c r="C813">
        <v>63774</v>
      </c>
      <c r="D813">
        <v>1182</v>
      </c>
      <c r="E813">
        <v>452</v>
      </c>
      <c r="F813">
        <v>20136</v>
      </c>
    </row>
    <row r="814" spans="1:6" x14ac:dyDescent="0.3">
      <c r="A814" t="s">
        <v>68</v>
      </c>
      <c r="B814">
        <v>2023</v>
      </c>
      <c r="C814">
        <v>78788</v>
      </c>
      <c r="D814">
        <v>1670</v>
      </c>
      <c r="E814">
        <v>678</v>
      </c>
      <c r="F814">
        <v>21774</v>
      </c>
    </row>
    <row r="815" spans="1:6" x14ac:dyDescent="0.3">
      <c r="A815" t="s">
        <v>68</v>
      </c>
      <c r="B815">
        <v>2024</v>
      </c>
      <c r="C815">
        <v>98692</v>
      </c>
      <c r="D815">
        <v>3020</v>
      </c>
      <c r="E815">
        <v>678</v>
      </c>
      <c r="F815">
        <v>25477</v>
      </c>
    </row>
    <row r="816" spans="1:6" x14ac:dyDescent="0.3">
      <c r="A816" t="s">
        <v>69</v>
      </c>
      <c r="C816">
        <v>2662</v>
      </c>
      <c r="D816">
        <v>551</v>
      </c>
    </row>
    <row r="817" spans="1:6" x14ac:dyDescent="0.3">
      <c r="A817" t="s">
        <v>69</v>
      </c>
      <c r="B817">
        <v>2013</v>
      </c>
      <c r="C817">
        <v>472</v>
      </c>
      <c r="D817">
        <v>76</v>
      </c>
      <c r="E817">
        <v>109</v>
      </c>
      <c r="F817">
        <v>499</v>
      </c>
    </row>
    <row r="818" spans="1:6" x14ac:dyDescent="0.3">
      <c r="A818" t="s">
        <v>69</v>
      </c>
      <c r="B818">
        <v>2014</v>
      </c>
      <c r="C818">
        <v>567</v>
      </c>
      <c r="D818">
        <v>60</v>
      </c>
      <c r="E818">
        <v>109</v>
      </c>
      <c r="F818">
        <v>563</v>
      </c>
    </row>
    <row r="819" spans="1:6" x14ac:dyDescent="0.3">
      <c r="A819" t="s">
        <v>69</v>
      </c>
      <c r="B819">
        <v>2015</v>
      </c>
      <c r="C819">
        <v>732</v>
      </c>
      <c r="D819">
        <v>-14</v>
      </c>
      <c r="E819">
        <v>120</v>
      </c>
      <c r="F819">
        <v>1295</v>
      </c>
    </row>
    <row r="820" spans="1:6" x14ac:dyDescent="0.3">
      <c r="A820" t="s">
        <v>69</v>
      </c>
      <c r="B820">
        <v>2016</v>
      </c>
      <c r="C820">
        <v>748</v>
      </c>
      <c r="D820">
        <v>118</v>
      </c>
      <c r="E820">
        <v>121</v>
      </c>
      <c r="F820">
        <v>1422</v>
      </c>
    </row>
    <row r="821" spans="1:6" x14ac:dyDescent="0.3">
      <c r="A821" t="s">
        <v>69</v>
      </c>
      <c r="B821">
        <v>2017</v>
      </c>
      <c r="C821">
        <v>888</v>
      </c>
      <c r="D821">
        <v>-43</v>
      </c>
      <c r="E821">
        <v>121</v>
      </c>
      <c r="F821">
        <v>1471</v>
      </c>
    </row>
    <row r="822" spans="1:6" x14ac:dyDescent="0.3">
      <c r="A822" t="s">
        <v>69</v>
      </c>
      <c r="B822">
        <v>2018</v>
      </c>
      <c r="C822">
        <v>988</v>
      </c>
      <c r="D822">
        <v>501</v>
      </c>
      <c r="E822">
        <v>122</v>
      </c>
      <c r="F822">
        <v>1923</v>
      </c>
    </row>
    <row r="823" spans="1:6" x14ac:dyDescent="0.3">
      <c r="A823" t="s">
        <v>69</v>
      </c>
      <c r="B823">
        <v>2019</v>
      </c>
      <c r="C823">
        <v>1151</v>
      </c>
      <c r="D823">
        <v>592</v>
      </c>
      <c r="E823">
        <v>122</v>
      </c>
      <c r="F823">
        <v>2421</v>
      </c>
    </row>
    <row r="824" spans="1:6" x14ac:dyDescent="0.3">
      <c r="A824" t="s">
        <v>69</v>
      </c>
      <c r="B824">
        <v>2020</v>
      </c>
      <c r="C824">
        <v>1312</v>
      </c>
      <c r="D824">
        <v>-246</v>
      </c>
      <c r="E824">
        <v>122</v>
      </c>
      <c r="F824">
        <v>2073</v>
      </c>
    </row>
    <row r="825" spans="1:6" x14ac:dyDescent="0.3">
      <c r="A825" t="s">
        <v>69</v>
      </c>
      <c r="B825">
        <v>2021</v>
      </c>
      <c r="C825">
        <v>1128</v>
      </c>
      <c r="D825">
        <v>1418</v>
      </c>
      <c r="E825">
        <v>129</v>
      </c>
      <c r="F825">
        <v>5267</v>
      </c>
    </row>
    <row r="826" spans="1:6" x14ac:dyDescent="0.3">
      <c r="A826" t="s">
        <v>69</v>
      </c>
      <c r="B826">
        <v>2022</v>
      </c>
      <c r="C826">
        <v>1589</v>
      </c>
      <c r="D826">
        <v>12882</v>
      </c>
      <c r="E826">
        <v>129</v>
      </c>
      <c r="F826">
        <v>17113</v>
      </c>
    </row>
    <row r="827" spans="1:6" x14ac:dyDescent="0.3">
      <c r="A827" t="s">
        <v>69</v>
      </c>
      <c r="B827">
        <v>2023</v>
      </c>
      <c r="C827">
        <v>2346</v>
      </c>
      <c r="D827">
        <v>-70</v>
      </c>
      <c r="E827">
        <v>129</v>
      </c>
      <c r="F827">
        <v>13269</v>
      </c>
    </row>
    <row r="828" spans="1:6" x14ac:dyDescent="0.3">
      <c r="A828" t="s">
        <v>69</v>
      </c>
      <c r="B828">
        <v>2024</v>
      </c>
      <c r="C828">
        <v>2536</v>
      </c>
      <c r="D828">
        <v>595</v>
      </c>
      <c r="E828">
        <v>129</v>
      </c>
      <c r="F828">
        <v>30133</v>
      </c>
    </row>
    <row r="829" spans="1:6" x14ac:dyDescent="0.3">
      <c r="A829" t="s">
        <v>70</v>
      </c>
      <c r="C829">
        <v>19786</v>
      </c>
      <c r="D829">
        <v>3323</v>
      </c>
    </row>
    <row r="830" spans="1:6" x14ac:dyDescent="0.3">
      <c r="A830" t="s">
        <v>70</v>
      </c>
      <c r="B830">
        <v>2013</v>
      </c>
      <c r="C830">
        <v>9101</v>
      </c>
      <c r="D830">
        <v>1117</v>
      </c>
      <c r="E830">
        <v>96</v>
      </c>
      <c r="F830">
        <v>2272</v>
      </c>
    </row>
    <row r="831" spans="1:6" x14ac:dyDescent="0.3">
      <c r="A831" t="s">
        <v>70</v>
      </c>
      <c r="B831">
        <v>2014</v>
      </c>
      <c r="C831">
        <v>9855</v>
      </c>
      <c r="D831">
        <v>1185</v>
      </c>
      <c r="E831">
        <v>96</v>
      </c>
      <c r="F831">
        <v>2741</v>
      </c>
    </row>
    <row r="832" spans="1:6" x14ac:dyDescent="0.3">
      <c r="A832" t="s">
        <v>70</v>
      </c>
      <c r="B832">
        <v>2015</v>
      </c>
      <c r="C832">
        <v>8175</v>
      </c>
      <c r="D832">
        <v>563</v>
      </c>
      <c r="E832">
        <v>96</v>
      </c>
      <c r="F832">
        <v>2721</v>
      </c>
    </row>
    <row r="833" spans="1:6" x14ac:dyDescent="0.3">
      <c r="A833" t="s">
        <v>70</v>
      </c>
      <c r="B833">
        <v>2016</v>
      </c>
      <c r="C833">
        <v>9141</v>
      </c>
      <c r="D833">
        <v>1001</v>
      </c>
      <c r="E833">
        <v>96</v>
      </c>
      <c r="F833">
        <v>3186</v>
      </c>
    </row>
    <row r="834" spans="1:6" x14ac:dyDescent="0.3">
      <c r="A834" t="s">
        <v>70</v>
      </c>
      <c r="B834">
        <v>2017</v>
      </c>
      <c r="C834">
        <v>10010</v>
      </c>
      <c r="D834">
        <v>1225</v>
      </c>
      <c r="E834">
        <v>96</v>
      </c>
      <c r="F834">
        <v>3324</v>
      </c>
    </row>
    <row r="835" spans="1:6" x14ac:dyDescent="0.3">
      <c r="A835" t="s">
        <v>70</v>
      </c>
      <c r="B835">
        <v>2018</v>
      </c>
      <c r="C835">
        <v>11292</v>
      </c>
      <c r="D835">
        <v>1607</v>
      </c>
      <c r="E835">
        <v>96</v>
      </c>
      <c r="F835">
        <v>3577</v>
      </c>
    </row>
    <row r="836" spans="1:6" x14ac:dyDescent="0.3">
      <c r="A836" t="s">
        <v>70</v>
      </c>
      <c r="B836">
        <v>2019</v>
      </c>
      <c r="C836">
        <v>12369</v>
      </c>
      <c r="D836">
        <v>1968</v>
      </c>
      <c r="E836">
        <v>96</v>
      </c>
      <c r="F836">
        <v>1822</v>
      </c>
    </row>
    <row r="837" spans="1:6" x14ac:dyDescent="0.3">
      <c r="A837" t="s">
        <v>70</v>
      </c>
      <c r="B837">
        <v>2020</v>
      </c>
      <c r="C837">
        <v>13350</v>
      </c>
      <c r="D837">
        <v>2082</v>
      </c>
      <c r="E837">
        <v>96</v>
      </c>
      <c r="F837">
        <v>1923</v>
      </c>
    </row>
    <row r="838" spans="1:6" x14ac:dyDescent="0.3">
      <c r="A838" t="s">
        <v>70</v>
      </c>
      <c r="B838">
        <v>2021</v>
      </c>
      <c r="C838">
        <v>14741</v>
      </c>
      <c r="D838">
        <v>2118</v>
      </c>
      <c r="E838">
        <v>96</v>
      </c>
      <c r="F838">
        <v>1850</v>
      </c>
    </row>
    <row r="839" spans="1:6" x14ac:dyDescent="0.3">
      <c r="A839" t="s">
        <v>70</v>
      </c>
      <c r="B839">
        <v>2022</v>
      </c>
      <c r="C839">
        <v>16897</v>
      </c>
      <c r="D839">
        <v>2391</v>
      </c>
      <c r="E839">
        <v>96</v>
      </c>
      <c r="F839">
        <v>2363</v>
      </c>
    </row>
    <row r="840" spans="1:6" x14ac:dyDescent="0.3">
      <c r="A840" t="s">
        <v>70</v>
      </c>
      <c r="B840">
        <v>2023</v>
      </c>
      <c r="C840">
        <v>19126</v>
      </c>
      <c r="D840">
        <v>2999</v>
      </c>
      <c r="E840">
        <v>96</v>
      </c>
      <c r="F840">
        <v>2363</v>
      </c>
    </row>
    <row r="841" spans="1:6" x14ac:dyDescent="0.3">
      <c r="A841" t="s">
        <v>70</v>
      </c>
      <c r="B841">
        <v>2024</v>
      </c>
      <c r="C841">
        <v>24394</v>
      </c>
      <c r="D841">
        <v>3933</v>
      </c>
      <c r="E841">
        <v>96</v>
      </c>
      <c r="F841">
        <v>3244</v>
      </c>
    </row>
    <row r="842" spans="1:6" x14ac:dyDescent="0.3">
      <c r="A842" t="s">
        <v>71</v>
      </c>
      <c r="C842">
        <v>9690</v>
      </c>
      <c r="D842">
        <v>3417</v>
      </c>
    </row>
    <row r="843" spans="1:6" x14ac:dyDescent="0.3">
      <c r="A843" t="s">
        <v>71</v>
      </c>
      <c r="B843">
        <v>2013</v>
      </c>
      <c r="C843">
        <v>6381</v>
      </c>
      <c r="D843">
        <v>2873</v>
      </c>
      <c r="E843">
        <v>12301</v>
      </c>
      <c r="F843">
        <v>17494</v>
      </c>
    </row>
    <row r="844" spans="1:6" x14ac:dyDescent="0.3">
      <c r="A844" t="s">
        <v>71</v>
      </c>
      <c r="B844">
        <v>2014</v>
      </c>
      <c r="C844">
        <v>7389</v>
      </c>
      <c r="D844">
        <v>1633</v>
      </c>
      <c r="E844">
        <v>11071</v>
      </c>
      <c r="F844">
        <v>17175</v>
      </c>
    </row>
    <row r="845" spans="1:6" x14ac:dyDescent="0.3">
      <c r="A845" t="s">
        <v>71</v>
      </c>
      <c r="B845">
        <v>2015</v>
      </c>
      <c r="C845">
        <v>8221</v>
      </c>
      <c r="D845">
        <v>2798</v>
      </c>
      <c r="E845">
        <v>11071</v>
      </c>
      <c r="F845">
        <v>19687</v>
      </c>
    </row>
    <row r="846" spans="1:6" x14ac:dyDescent="0.3">
      <c r="A846" t="s">
        <v>71</v>
      </c>
      <c r="B846">
        <v>2016</v>
      </c>
      <c r="C846">
        <v>8354</v>
      </c>
      <c r="D846">
        <v>2365</v>
      </c>
      <c r="E846">
        <v>11071</v>
      </c>
      <c r="F846">
        <v>20572</v>
      </c>
    </row>
    <row r="847" spans="1:6" x14ac:dyDescent="0.3">
      <c r="A847" t="s">
        <v>71</v>
      </c>
      <c r="B847">
        <v>2017</v>
      </c>
      <c r="C847">
        <v>8623</v>
      </c>
      <c r="D847">
        <v>3480</v>
      </c>
      <c r="E847">
        <v>10259</v>
      </c>
      <c r="F847">
        <v>18756</v>
      </c>
    </row>
    <row r="848" spans="1:6" x14ac:dyDescent="0.3">
      <c r="A848" t="s">
        <v>71</v>
      </c>
      <c r="B848">
        <v>2018</v>
      </c>
      <c r="C848">
        <v>7755</v>
      </c>
      <c r="D848">
        <v>2785</v>
      </c>
      <c r="E848">
        <v>10259</v>
      </c>
      <c r="F848">
        <v>19782</v>
      </c>
    </row>
    <row r="849" spans="1:6" x14ac:dyDescent="0.3">
      <c r="A849" t="s">
        <v>71</v>
      </c>
      <c r="B849">
        <v>2019</v>
      </c>
      <c r="C849">
        <v>8983</v>
      </c>
      <c r="D849">
        <v>2836</v>
      </c>
      <c r="E849">
        <v>10045</v>
      </c>
      <c r="F849">
        <v>20753</v>
      </c>
    </row>
    <row r="850" spans="1:6" x14ac:dyDescent="0.3">
      <c r="A850" t="s">
        <v>71</v>
      </c>
      <c r="B850">
        <v>2020</v>
      </c>
      <c r="C850">
        <v>10008</v>
      </c>
      <c r="D850">
        <v>3345</v>
      </c>
      <c r="E850">
        <v>10045</v>
      </c>
      <c r="F850">
        <v>21336</v>
      </c>
    </row>
    <row r="851" spans="1:6" x14ac:dyDescent="0.3">
      <c r="A851" t="s">
        <v>71</v>
      </c>
      <c r="B851">
        <v>2021</v>
      </c>
      <c r="C851">
        <v>9648</v>
      </c>
      <c r="D851">
        <v>3600</v>
      </c>
      <c r="E851">
        <v>10045</v>
      </c>
      <c r="F851">
        <v>23008</v>
      </c>
    </row>
    <row r="852" spans="1:6" x14ac:dyDescent="0.3">
      <c r="A852" t="s">
        <v>71</v>
      </c>
      <c r="B852">
        <v>2022</v>
      </c>
      <c r="C852">
        <v>9144</v>
      </c>
      <c r="D852">
        <v>3774</v>
      </c>
      <c r="E852">
        <v>10045</v>
      </c>
      <c r="F852">
        <v>24876</v>
      </c>
    </row>
    <row r="853" spans="1:6" x14ac:dyDescent="0.3">
      <c r="A853" t="s">
        <v>71</v>
      </c>
      <c r="B853">
        <v>2023</v>
      </c>
      <c r="C853">
        <v>10607</v>
      </c>
      <c r="D853">
        <v>4261</v>
      </c>
      <c r="E853">
        <v>10045</v>
      </c>
      <c r="F853">
        <v>26916</v>
      </c>
    </row>
    <row r="854" spans="1:6" x14ac:dyDescent="0.3">
      <c r="A854" t="s">
        <v>71</v>
      </c>
      <c r="B854">
        <v>2024</v>
      </c>
      <c r="C854">
        <v>9632</v>
      </c>
      <c r="D854">
        <v>4028</v>
      </c>
      <c r="E854">
        <v>10045</v>
      </c>
      <c r="F854">
        <v>28657</v>
      </c>
    </row>
    <row r="855" spans="1:6" x14ac:dyDescent="0.3">
      <c r="A855" t="s">
        <v>72</v>
      </c>
      <c r="C855">
        <v>185892</v>
      </c>
      <c r="D855">
        <v>22546</v>
      </c>
    </row>
    <row r="856" spans="1:6" x14ac:dyDescent="0.3">
      <c r="A856" t="s">
        <v>72</v>
      </c>
      <c r="B856">
        <v>2013</v>
      </c>
      <c r="C856">
        <v>71518</v>
      </c>
      <c r="D856">
        <v>12586</v>
      </c>
      <c r="E856">
        <v>8245</v>
      </c>
      <c r="F856">
        <v>72995</v>
      </c>
    </row>
    <row r="857" spans="1:6" x14ac:dyDescent="0.3">
      <c r="A857" t="s">
        <v>72</v>
      </c>
      <c r="B857">
        <v>2014</v>
      </c>
      <c r="C857">
        <v>78330</v>
      </c>
      <c r="D857">
        <v>11403</v>
      </c>
      <c r="E857">
        <v>8245</v>
      </c>
      <c r="F857">
        <v>79084</v>
      </c>
    </row>
    <row r="858" spans="1:6" x14ac:dyDescent="0.3">
      <c r="A858" t="s">
        <v>72</v>
      </c>
      <c r="B858">
        <v>2015</v>
      </c>
      <c r="C858">
        <v>79957</v>
      </c>
      <c r="D858">
        <v>9992</v>
      </c>
      <c r="E858">
        <v>8245</v>
      </c>
      <c r="F858">
        <v>73849</v>
      </c>
    </row>
    <row r="859" spans="1:6" x14ac:dyDescent="0.3">
      <c r="A859" t="s">
        <v>72</v>
      </c>
      <c r="B859">
        <v>2016</v>
      </c>
      <c r="C859">
        <v>73396</v>
      </c>
      <c r="D859">
        <v>10781</v>
      </c>
      <c r="E859">
        <v>8245</v>
      </c>
      <c r="F859">
        <v>83330</v>
      </c>
    </row>
    <row r="860" spans="1:6" x14ac:dyDescent="0.3">
      <c r="A860" t="s">
        <v>72</v>
      </c>
      <c r="B860">
        <v>2017</v>
      </c>
      <c r="C860">
        <v>82042</v>
      </c>
      <c r="D860">
        <v>10714</v>
      </c>
      <c r="E860">
        <v>8245</v>
      </c>
      <c r="F860">
        <v>89593</v>
      </c>
    </row>
    <row r="861" spans="1:6" x14ac:dyDescent="0.3">
      <c r="A861" t="s">
        <v>72</v>
      </c>
      <c r="B861">
        <v>2018</v>
      </c>
      <c r="C861">
        <v>88083</v>
      </c>
      <c r="D861">
        <v>10502</v>
      </c>
      <c r="E861">
        <v>8245</v>
      </c>
      <c r="F861">
        <v>95318</v>
      </c>
    </row>
    <row r="862" spans="1:6" x14ac:dyDescent="0.3">
      <c r="A862" t="s">
        <v>72</v>
      </c>
      <c r="B862">
        <v>2019</v>
      </c>
      <c r="C862">
        <v>100287</v>
      </c>
      <c r="D862">
        <v>14034</v>
      </c>
      <c r="E862">
        <v>9895</v>
      </c>
      <c r="F862">
        <v>101462</v>
      </c>
    </row>
    <row r="863" spans="1:6" x14ac:dyDescent="0.3">
      <c r="A863" t="s">
        <v>72</v>
      </c>
      <c r="B863">
        <v>2020</v>
      </c>
      <c r="C863">
        <v>109464</v>
      </c>
      <c r="D863">
        <v>11902</v>
      </c>
      <c r="E863">
        <v>9895</v>
      </c>
      <c r="F863">
        <v>108945</v>
      </c>
    </row>
    <row r="864" spans="1:6" x14ac:dyDescent="0.3">
      <c r="A864" t="s">
        <v>72</v>
      </c>
      <c r="B864">
        <v>2021</v>
      </c>
      <c r="C864">
        <v>111531</v>
      </c>
      <c r="D864">
        <v>14969</v>
      </c>
      <c r="E864">
        <v>9697</v>
      </c>
      <c r="F864">
        <v>116042</v>
      </c>
    </row>
    <row r="865" spans="1:6" x14ac:dyDescent="0.3">
      <c r="A865" t="s">
        <v>72</v>
      </c>
      <c r="B865">
        <v>2022</v>
      </c>
      <c r="C865">
        <v>132669</v>
      </c>
      <c r="D865">
        <v>16960</v>
      </c>
      <c r="E865">
        <v>9697</v>
      </c>
      <c r="F865">
        <v>125677</v>
      </c>
    </row>
    <row r="866" spans="1:6" x14ac:dyDescent="0.3">
      <c r="A866" t="s">
        <v>72</v>
      </c>
      <c r="B866">
        <v>2023</v>
      </c>
      <c r="C866">
        <v>176207</v>
      </c>
      <c r="D866">
        <v>17121</v>
      </c>
      <c r="E866">
        <v>9697</v>
      </c>
      <c r="F866">
        <v>137326</v>
      </c>
    </row>
    <row r="867" spans="1:6" x14ac:dyDescent="0.3">
      <c r="A867" t="s">
        <v>72</v>
      </c>
      <c r="B867">
        <v>2024</v>
      </c>
      <c r="C867">
        <v>178501</v>
      </c>
      <c r="D867">
        <v>21332</v>
      </c>
      <c r="E867">
        <v>9697</v>
      </c>
      <c r="F867">
        <v>151013</v>
      </c>
    </row>
    <row r="868" spans="1:6" x14ac:dyDescent="0.3">
      <c r="A868" t="s">
        <v>73</v>
      </c>
      <c r="C868">
        <v>658694</v>
      </c>
      <c r="D868">
        <v>42320</v>
      </c>
    </row>
    <row r="869" spans="1:6" x14ac:dyDescent="0.3">
      <c r="A869" t="s">
        <v>73</v>
      </c>
      <c r="B869">
        <v>2013</v>
      </c>
      <c r="C869">
        <v>161984</v>
      </c>
      <c r="D869">
        <v>23994</v>
      </c>
      <c r="E869">
        <v>4278</v>
      </c>
      <c r="F869">
        <v>148250</v>
      </c>
    </row>
    <row r="870" spans="1:6" x14ac:dyDescent="0.3">
      <c r="A870" t="s">
        <v>73</v>
      </c>
      <c r="B870">
        <v>2014</v>
      </c>
      <c r="C870">
        <v>174121</v>
      </c>
      <c r="D870">
        <v>26665</v>
      </c>
      <c r="E870">
        <v>4278</v>
      </c>
      <c r="F870">
        <v>167874</v>
      </c>
    </row>
    <row r="871" spans="1:6" x14ac:dyDescent="0.3">
      <c r="A871" t="s">
        <v>73</v>
      </c>
      <c r="B871">
        <v>2015</v>
      </c>
      <c r="C871">
        <v>160923</v>
      </c>
      <c r="D871">
        <v>17703</v>
      </c>
      <c r="E871">
        <v>4278</v>
      </c>
      <c r="F871">
        <v>176177</v>
      </c>
    </row>
    <row r="872" spans="1:6" x14ac:dyDescent="0.3">
      <c r="A872" t="s">
        <v>73</v>
      </c>
      <c r="B872">
        <v>2016</v>
      </c>
      <c r="C872">
        <v>124036</v>
      </c>
      <c r="D872">
        <v>13102</v>
      </c>
      <c r="E872">
        <v>4278</v>
      </c>
      <c r="F872">
        <v>193536</v>
      </c>
    </row>
    <row r="873" spans="1:6" x14ac:dyDescent="0.3">
      <c r="A873" t="s">
        <v>73</v>
      </c>
      <c r="B873">
        <v>2017</v>
      </c>
      <c r="C873">
        <v>282506</v>
      </c>
      <c r="D873">
        <v>29169</v>
      </c>
      <c r="E873">
        <v>6417</v>
      </c>
      <c r="F873">
        <v>187969</v>
      </c>
    </row>
    <row r="874" spans="1:6" x14ac:dyDescent="0.3">
      <c r="A874" t="s">
        <v>73</v>
      </c>
      <c r="B874">
        <v>2018</v>
      </c>
      <c r="C874">
        <v>322706</v>
      </c>
      <c r="D874">
        <v>26068</v>
      </c>
      <c r="E874">
        <v>6417</v>
      </c>
      <c r="F874">
        <v>197602</v>
      </c>
    </row>
    <row r="875" spans="1:6" x14ac:dyDescent="0.3">
      <c r="A875" t="s">
        <v>73</v>
      </c>
      <c r="B875">
        <v>2019</v>
      </c>
      <c r="C875">
        <v>421624</v>
      </c>
      <c r="D875">
        <v>33938</v>
      </c>
      <c r="E875">
        <v>6290</v>
      </c>
      <c r="F875">
        <v>210644</v>
      </c>
    </row>
    <row r="876" spans="1:6" x14ac:dyDescent="0.3">
      <c r="A876" t="s">
        <v>73</v>
      </c>
      <c r="B876">
        <v>2020</v>
      </c>
      <c r="C876">
        <v>396728</v>
      </c>
      <c r="D876">
        <v>11456</v>
      </c>
      <c r="E876">
        <v>6290</v>
      </c>
      <c r="F876">
        <v>198814</v>
      </c>
    </row>
    <row r="877" spans="1:6" x14ac:dyDescent="0.3">
      <c r="A877" t="s">
        <v>73</v>
      </c>
      <c r="B877">
        <v>2021</v>
      </c>
      <c r="C877">
        <v>303849</v>
      </c>
      <c r="D877">
        <v>21360</v>
      </c>
      <c r="E877">
        <v>6290</v>
      </c>
      <c r="F877">
        <v>214691</v>
      </c>
    </row>
    <row r="878" spans="1:6" x14ac:dyDescent="0.3">
      <c r="A878" t="s">
        <v>73</v>
      </c>
      <c r="B878">
        <v>2022</v>
      </c>
      <c r="C878">
        <v>491246</v>
      </c>
      <c r="D878">
        <v>49294</v>
      </c>
      <c r="E878">
        <v>6290</v>
      </c>
      <c r="F878">
        <v>253213</v>
      </c>
    </row>
    <row r="879" spans="1:6" x14ac:dyDescent="0.3">
      <c r="A879" t="s">
        <v>73</v>
      </c>
      <c r="B879">
        <v>2023</v>
      </c>
      <c r="C879">
        <v>632291</v>
      </c>
      <c r="D879">
        <v>32778</v>
      </c>
      <c r="E879">
        <v>6290</v>
      </c>
      <c r="F879">
        <v>274357</v>
      </c>
    </row>
    <row r="880" spans="1:6" x14ac:dyDescent="0.3">
      <c r="A880" t="s">
        <v>73</v>
      </c>
      <c r="B880">
        <v>2024</v>
      </c>
      <c r="C880">
        <v>591396</v>
      </c>
      <c r="D880">
        <v>57101</v>
      </c>
      <c r="E880">
        <v>6290</v>
      </c>
      <c r="F880">
        <v>330780</v>
      </c>
    </row>
    <row r="881" spans="1:6" x14ac:dyDescent="0.3">
      <c r="A881" t="s">
        <v>74</v>
      </c>
      <c r="C881">
        <v>98152</v>
      </c>
      <c r="D881">
        <v>28248</v>
      </c>
    </row>
    <row r="882" spans="1:6" x14ac:dyDescent="0.3">
      <c r="A882" t="s">
        <v>74</v>
      </c>
      <c r="B882">
        <v>2013</v>
      </c>
      <c r="C882">
        <v>17314</v>
      </c>
      <c r="D882">
        <v>4438</v>
      </c>
      <c r="E882">
        <v>1320</v>
      </c>
      <c r="F882">
        <v>22360</v>
      </c>
    </row>
    <row r="883" spans="1:6" x14ac:dyDescent="0.3">
      <c r="A883" t="s">
        <v>74</v>
      </c>
      <c r="B883">
        <v>2014</v>
      </c>
      <c r="C883">
        <v>21407</v>
      </c>
      <c r="D883">
        <v>5462</v>
      </c>
      <c r="E883">
        <v>1320</v>
      </c>
      <c r="F883">
        <v>26202</v>
      </c>
    </row>
    <row r="884" spans="1:6" x14ac:dyDescent="0.3">
      <c r="A884" t="s">
        <v>74</v>
      </c>
      <c r="B884">
        <v>2015</v>
      </c>
      <c r="C884">
        <v>24988</v>
      </c>
      <c r="D884">
        <v>6004</v>
      </c>
      <c r="E884">
        <v>1320</v>
      </c>
      <c r="F884">
        <v>31091</v>
      </c>
    </row>
    <row r="885" spans="1:6" x14ac:dyDescent="0.3">
      <c r="A885" t="s">
        <v>74</v>
      </c>
      <c r="B885">
        <v>2016</v>
      </c>
      <c r="C885">
        <v>27861</v>
      </c>
      <c r="D885">
        <v>6184</v>
      </c>
      <c r="E885">
        <v>1320</v>
      </c>
      <c r="F885">
        <v>34708</v>
      </c>
    </row>
    <row r="886" spans="1:6" x14ac:dyDescent="0.3">
      <c r="A886" t="s">
        <v>74</v>
      </c>
      <c r="B886">
        <v>2017</v>
      </c>
      <c r="C886">
        <v>27581</v>
      </c>
      <c r="D886">
        <v>2236</v>
      </c>
      <c r="E886">
        <v>2640</v>
      </c>
      <c r="F886">
        <v>34205</v>
      </c>
    </row>
    <row r="887" spans="1:6" x14ac:dyDescent="0.3">
      <c r="A887" t="s">
        <v>74</v>
      </c>
      <c r="B887">
        <v>2018</v>
      </c>
      <c r="C887">
        <v>48624</v>
      </c>
      <c r="D887">
        <v>8797</v>
      </c>
      <c r="E887">
        <v>2640</v>
      </c>
      <c r="F887">
        <v>37194</v>
      </c>
    </row>
    <row r="888" spans="1:6" x14ac:dyDescent="0.3">
      <c r="A888" t="s">
        <v>74</v>
      </c>
      <c r="B888">
        <v>2019</v>
      </c>
      <c r="C888">
        <v>54106</v>
      </c>
      <c r="D888">
        <v>12640</v>
      </c>
      <c r="E888">
        <v>2640</v>
      </c>
      <c r="F888">
        <v>44481</v>
      </c>
    </row>
    <row r="889" spans="1:6" x14ac:dyDescent="0.3">
      <c r="A889" t="s">
        <v>74</v>
      </c>
      <c r="B889">
        <v>2020</v>
      </c>
      <c r="C889">
        <v>62189</v>
      </c>
      <c r="D889">
        <v>9477</v>
      </c>
      <c r="E889">
        <v>2640</v>
      </c>
      <c r="F889">
        <v>46760</v>
      </c>
    </row>
    <row r="890" spans="1:6" x14ac:dyDescent="0.3">
      <c r="A890" t="s">
        <v>74</v>
      </c>
      <c r="B890">
        <v>2021</v>
      </c>
      <c r="C890">
        <v>71656</v>
      </c>
      <c r="D890">
        <v>15716</v>
      </c>
      <c r="E890">
        <v>2640</v>
      </c>
      <c r="F890">
        <v>58127</v>
      </c>
    </row>
    <row r="891" spans="1:6" x14ac:dyDescent="0.3">
      <c r="A891" t="s">
        <v>74</v>
      </c>
      <c r="B891">
        <v>2022</v>
      </c>
      <c r="C891">
        <v>76262</v>
      </c>
      <c r="D891">
        <v>18768</v>
      </c>
      <c r="E891">
        <v>2640</v>
      </c>
      <c r="F891">
        <v>69036</v>
      </c>
    </row>
    <row r="892" spans="1:6" x14ac:dyDescent="0.3">
      <c r="A892" t="s">
        <v>74</v>
      </c>
      <c r="B892">
        <v>2023</v>
      </c>
      <c r="C892">
        <v>77684</v>
      </c>
      <c r="D892">
        <v>21179</v>
      </c>
      <c r="E892">
        <v>2640</v>
      </c>
      <c r="F892">
        <v>81518</v>
      </c>
    </row>
    <row r="893" spans="1:6" x14ac:dyDescent="0.3">
      <c r="A893" t="s">
        <v>74</v>
      </c>
      <c r="B893">
        <v>2024</v>
      </c>
      <c r="C893">
        <v>91508</v>
      </c>
      <c r="D893">
        <v>26461</v>
      </c>
      <c r="E893">
        <v>3300</v>
      </c>
      <c r="F893">
        <v>97847</v>
      </c>
    </row>
    <row r="894" spans="1:6" x14ac:dyDescent="0.3">
      <c r="A894" t="s">
        <v>75</v>
      </c>
      <c r="C894">
        <v>12901</v>
      </c>
      <c r="D894">
        <v>1973</v>
      </c>
    </row>
    <row r="895" spans="1:6" x14ac:dyDescent="0.3">
      <c r="A895" t="s">
        <v>75</v>
      </c>
      <c r="B895">
        <v>2013</v>
      </c>
      <c r="C895">
        <v>3678</v>
      </c>
      <c r="D895">
        <v>424</v>
      </c>
      <c r="E895">
        <v>51</v>
      </c>
      <c r="F895">
        <v>1600</v>
      </c>
    </row>
    <row r="896" spans="1:6" x14ac:dyDescent="0.3">
      <c r="A896" t="s">
        <v>75</v>
      </c>
      <c r="B896">
        <v>2014</v>
      </c>
      <c r="C896">
        <v>4283</v>
      </c>
      <c r="D896">
        <v>450</v>
      </c>
      <c r="E896">
        <v>51</v>
      </c>
      <c r="F896">
        <v>1901</v>
      </c>
    </row>
    <row r="897" spans="1:6" x14ac:dyDescent="0.3">
      <c r="A897" t="s">
        <v>75</v>
      </c>
      <c r="B897">
        <v>2015</v>
      </c>
      <c r="C897">
        <v>4844</v>
      </c>
      <c r="D897">
        <v>514</v>
      </c>
      <c r="E897">
        <v>51</v>
      </c>
      <c r="F897">
        <v>2219</v>
      </c>
    </row>
    <row r="898" spans="1:6" x14ac:dyDescent="0.3">
      <c r="A898" t="s">
        <v>75</v>
      </c>
      <c r="B898">
        <v>2016</v>
      </c>
      <c r="C898">
        <v>5361</v>
      </c>
      <c r="D898">
        <v>807</v>
      </c>
      <c r="E898">
        <v>51</v>
      </c>
      <c r="F898">
        <v>2587</v>
      </c>
    </row>
    <row r="899" spans="1:6" x14ac:dyDescent="0.3">
      <c r="A899" t="s">
        <v>75</v>
      </c>
      <c r="B899">
        <v>2017</v>
      </c>
      <c r="C899">
        <v>5617</v>
      </c>
      <c r="D899">
        <v>863</v>
      </c>
      <c r="E899">
        <v>51</v>
      </c>
      <c r="F899">
        <v>3420</v>
      </c>
    </row>
    <row r="900" spans="1:6" x14ac:dyDescent="0.3">
      <c r="A900" t="s">
        <v>75</v>
      </c>
      <c r="B900">
        <v>2018</v>
      </c>
      <c r="C900">
        <v>6078</v>
      </c>
      <c r="D900">
        <v>966</v>
      </c>
      <c r="E900">
        <v>51</v>
      </c>
      <c r="F900">
        <v>3523</v>
      </c>
    </row>
    <row r="901" spans="1:6" x14ac:dyDescent="0.3">
      <c r="A901" t="s">
        <v>75</v>
      </c>
      <c r="B901">
        <v>2019</v>
      </c>
      <c r="C901">
        <v>7078</v>
      </c>
      <c r="D901">
        <v>928</v>
      </c>
      <c r="E901">
        <v>51</v>
      </c>
      <c r="F901">
        <v>4097</v>
      </c>
    </row>
    <row r="902" spans="1:6" x14ac:dyDescent="0.3">
      <c r="A902" t="s">
        <v>75</v>
      </c>
      <c r="B902">
        <v>2020</v>
      </c>
      <c r="C902">
        <v>7294</v>
      </c>
      <c r="D902">
        <v>1122</v>
      </c>
      <c r="E902">
        <v>51</v>
      </c>
      <c r="F902">
        <v>4405</v>
      </c>
    </row>
    <row r="903" spans="1:6" x14ac:dyDescent="0.3">
      <c r="A903" t="s">
        <v>75</v>
      </c>
      <c r="B903">
        <v>2021</v>
      </c>
      <c r="C903">
        <v>7293</v>
      </c>
      <c r="D903">
        <v>1126</v>
      </c>
      <c r="E903">
        <v>51</v>
      </c>
      <c r="F903">
        <v>5542</v>
      </c>
    </row>
    <row r="904" spans="1:6" x14ac:dyDescent="0.3">
      <c r="A904" t="s">
        <v>75</v>
      </c>
      <c r="B904">
        <v>2022</v>
      </c>
      <c r="C904">
        <v>9921</v>
      </c>
      <c r="D904">
        <v>1207</v>
      </c>
      <c r="E904">
        <v>51</v>
      </c>
      <c r="F904">
        <v>6353</v>
      </c>
    </row>
    <row r="905" spans="1:6" x14ac:dyDescent="0.3">
      <c r="A905" t="s">
        <v>75</v>
      </c>
      <c r="B905">
        <v>2023</v>
      </c>
      <c r="C905">
        <v>11799</v>
      </c>
      <c r="D905">
        <v>1289</v>
      </c>
      <c r="E905">
        <v>51</v>
      </c>
      <c r="F905">
        <v>7161</v>
      </c>
    </row>
    <row r="906" spans="1:6" x14ac:dyDescent="0.3">
      <c r="A906" t="s">
        <v>75</v>
      </c>
      <c r="B906">
        <v>2024</v>
      </c>
      <c r="C906">
        <v>12383</v>
      </c>
      <c r="D906">
        <v>1747</v>
      </c>
      <c r="E906">
        <v>51</v>
      </c>
      <c r="F906">
        <v>8356</v>
      </c>
    </row>
    <row r="907" spans="1:6" x14ac:dyDescent="0.3">
      <c r="A907" t="s">
        <v>76</v>
      </c>
      <c r="C907">
        <v>116126</v>
      </c>
      <c r="D907">
        <v>14535</v>
      </c>
    </row>
    <row r="908" spans="1:6" x14ac:dyDescent="0.3">
      <c r="A908" t="s">
        <v>76</v>
      </c>
      <c r="B908">
        <v>2013</v>
      </c>
      <c r="C908">
        <v>43071</v>
      </c>
      <c r="D908">
        <v>5020</v>
      </c>
      <c r="E908">
        <v>50</v>
      </c>
      <c r="F908">
        <v>568</v>
      </c>
    </row>
    <row r="909" spans="1:6" x14ac:dyDescent="0.3">
      <c r="A909" t="s">
        <v>76</v>
      </c>
      <c r="B909">
        <v>2014</v>
      </c>
      <c r="C909">
        <v>44958</v>
      </c>
      <c r="D909">
        <v>3674</v>
      </c>
      <c r="E909">
        <v>66</v>
      </c>
      <c r="F909">
        <v>868</v>
      </c>
    </row>
    <row r="910" spans="1:6" x14ac:dyDescent="0.3">
      <c r="A910" t="s">
        <v>76</v>
      </c>
      <c r="B910">
        <v>2015</v>
      </c>
      <c r="C910">
        <v>48710</v>
      </c>
      <c r="D910">
        <v>3525</v>
      </c>
      <c r="E910">
        <v>104</v>
      </c>
      <c r="F910">
        <v>1475</v>
      </c>
    </row>
    <row r="911" spans="1:6" x14ac:dyDescent="0.3">
      <c r="A911" t="s">
        <v>76</v>
      </c>
      <c r="B911">
        <v>2016</v>
      </c>
      <c r="C911">
        <v>50804</v>
      </c>
      <c r="D911">
        <v>-3510</v>
      </c>
      <c r="E911">
        <v>127</v>
      </c>
      <c r="F911">
        <v>2019</v>
      </c>
    </row>
    <row r="912" spans="1:6" x14ac:dyDescent="0.3">
      <c r="A912" t="s">
        <v>76</v>
      </c>
      <c r="B912">
        <v>2017</v>
      </c>
      <c r="C912">
        <v>48058</v>
      </c>
      <c r="D912">
        <v>1239</v>
      </c>
      <c r="E912">
        <v>166</v>
      </c>
      <c r="F912">
        <v>5412</v>
      </c>
    </row>
    <row r="913" spans="1:6" x14ac:dyDescent="0.3">
      <c r="A913" t="s">
        <v>76</v>
      </c>
      <c r="B913">
        <v>2018</v>
      </c>
      <c r="C913">
        <v>48725</v>
      </c>
      <c r="D913">
        <v>-12111</v>
      </c>
      <c r="E913">
        <v>167</v>
      </c>
      <c r="F913">
        <v>6402</v>
      </c>
    </row>
    <row r="914" spans="1:6" x14ac:dyDescent="0.3">
      <c r="A914" t="s">
        <v>76</v>
      </c>
      <c r="B914">
        <v>2019</v>
      </c>
      <c r="C914">
        <v>52147</v>
      </c>
      <c r="D914">
        <v>-9550</v>
      </c>
      <c r="E914">
        <v>167</v>
      </c>
      <c r="F914">
        <v>7268</v>
      </c>
    </row>
    <row r="915" spans="1:6" x14ac:dyDescent="0.3">
      <c r="A915" t="s">
        <v>76</v>
      </c>
      <c r="B915">
        <v>2020</v>
      </c>
      <c r="C915">
        <v>54918</v>
      </c>
      <c r="D915">
        <v>485</v>
      </c>
      <c r="E915">
        <v>168</v>
      </c>
      <c r="F915">
        <v>7779</v>
      </c>
    </row>
    <row r="916" spans="1:6" x14ac:dyDescent="0.3">
      <c r="A916" t="s">
        <v>76</v>
      </c>
      <c r="B916">
        <v>2021</v>
      </c>
      <c r="C916">
        <v>81935</v>
      </c>
      <c r="D916">
        <v>2695</v>
      </c>
      <c r="E916">
        <v>168</v>
      </c>
      <c r="F916">
        <v>8699</v>
      </c>
    </row>
    <row r="917" spans="1:6" x14ac:dyDescent="0.3">
      <c r="A917" t="s">
        <v>76</v>
      </c>
      <c r="B917">
        <v>2022</v>
      </c>
      <c r="C917">
        <v>76242</v>
      </c>
      <c r="D917">
        <v>3908</v>
      </c>
      <c r="E917">
        <v>169</v>
      </c>
      <c r="F917">
        <v>9632</v>
      </c>
    </row>
    <row r="918" spans="1:6" x14ac:dyDescent="0.3">
      <c r="A918" t="s">
        <v>76</v>
      </c>
      <c r="B918">
        <v>2023</v>
      </c>
      <c r="C918">
        <v>86845</v>
      </c>
      <c r="D918">
        <v>3359</v>
      </c>
      <c r="E918">
        <v>169</v>
      </c>
      <c r="F918">
        <v>10784</v>
      </c>
    </row>
    <row r="919" spans="1:6" x14ac:dyDescent="0.3">
      <c r="A919" t="s">
        <v>76</v>
      </c>
      <c r="B919">
        <v>2024</v>
      </c>
      <c r="C919">
        <v>109065</v>
      </c>
      <c r="D919">
        <v>9157</v>
      </c>
      <c r="E919">
        <v>260</v>
      </c>
      <c r="F919">
        <v>14673</v>
      </c>
    </row>
    <row r="920" spans="1:6" x14ac:dyDescent="0.3">
      <c r="A920" t="s">
        <v>77</v>
      </c>
      <c r="C920">
        <v>45812</v>
      </c>
      <c r="D920">
        <v>15712</v>
      </c>
    </row>
    <row r="921" spans="1:6" x14ac:dyDescent="0.3">
      <c r="A921" t="s">
        <v>77</v>
      </c>
      <c r="B921">
        <v>2013</v>
      </c>
      <c r="C921">
        <v>13081</v>
      </c>
      <c r="D921">
        <v>4313</v>
      </c>
      <c r="E921">
        <v>4630</v>
      </c>
      <c r="F921">
        <v>21773</v>
      </c>
    </row>
    <row r="922" spans="1:6" x14ac:dyDescent="0.3">
      <c r="A922" t="s">
        <v>77</v>
      </c>
      <c r="B922">
        <v>2014</v>
      </c>
      <c r="C922">
        <v>15555</v>
      </c>
      <c r="D922">
        <v>4548</v>
      </c>
      <c r="E922">
        <v>5232</v>
      </c>
      <c r="F922">
        <v>29466</v>
      </c>
    </row>
    <row r="923" spans="1:6" x14ac:dyDescent="0.3">
      <c r="A923" t="s">
        <v>77</v>
      </c>
      <c r="B923">
        <v>2015</v>
      </c>
      <c r="C923">
        <v>17540</v>
      </c>
      <c r="D923">
        <v>5046</v>
      </c>
      <c r="E923">
        <v>5232</v>
      </c>
      <c r="F923">
        <v>33207</v>
      </c>
    </row>
    <row r="924" spans="1:6" x14ac:dyDescent="0.3">
      <c r="A924" t="s">
        <v>77</v>
      </c>
      <c r="B924">
        <v>2016</v>
      </c>
      <c r="C924">
        <v>20652</v>
      </c>
      <c r="D924">
        <v>5959</v>
      </c>
      <c r="E924">
        <v>5232</v>
      </c>
      <c r="F924">
        <v>38738</v>
      </c>
    </row>
    <row r="925" spans="1:6" x14ac:dyDescent="0.3">
      <c r="A925" t="s">
        <v>77</v>
      </c>
      <c r="B925">
        <v>2017</v>
      </c>
      <c r="C925">
        <v>25697</v>
      </c>
      <c r="D925">
        <v>7451</v>
      </c>
      <c r="E925">
        <v>5232</v>
      </c>
      <c r="F925">
        <v>44634</v>
      </c>
    </row>
    <row r="926" spans="1:6" x14ac:dyDescent="0.3">
      <c r="A926" t="s">
        <v>77</v>
      </c>
      <c r="B926">
        <v>2018</v>
      </c>
      <c r="C926">
        <v>29954</v>
      </c>
      <c r="D926">
        <v>8204</v>
      </c>
      <c r="E926">
        <v>5232</v>
      </c>
      <c r="F926">
        <v>49194</v>
      </c>
    </row>
    <row r="927" spans="1:6" x14ac:dyDescent="0.3">
      <c r="A927" t="s">
        <v>77</v>
      </c>
      <c r="B927">
        <v>2019</v>
      </c>
      <c r="C927">
        <v>35059</v>
      </c>
      <c r="D927">
        <v>10034</v>
      </c>
      <c r="E927">
        <v>5232</v>
      </c>
      <c r="F927">
        <v>53857</v>
      </c>
    </row>
    <row r="928" spans="1:6" x14ac:dyDescent="0.3">
      <c r="A928" t="s">
        <v>77</v>
      </c>
      <c r="B928">
        <v>2020</v>
      </c>
      <c r="C928">
        <v>37744</v>
      </c>
      <c r="D928">
        <v>11059</v>
      </c>
      <c r="E928">
        <v>5232</v>
      </c>
      <c r="F928">
        <v>59464</v>
      </c>
    </row>
    <row r="929" spans="1:6" x14ac:dyDescent="0.3">
      <c r="A929" t="s">
        <v>77</v>
      </c>
      <c r="B929">
        <v>2021</v>
      </c>
      <c r="C929">
        <v>39640</v>
      </c>
      <c r="D929">
        <v>12036</v>
      </c>
      <c r="E929">
        <v>5232</v>
      </c>
      <c r="F929">
        <v>64704</v>
      </c>
    </row>
    <row r="930" spans="1:6" x14ac:dyDescent="0.3">
      <c r="A930" t="s">
        <v>77</v>
      </c>
      <c r="B930">
        <v>2022</v>
      </c>
      <c r="C930">
        <v>41622</v>
      </c>
      <c r="D930">
        <v>16824</v>
      </c>
      <c r="E930">
        <v>6975</v>
      </c>
      <c r="F930">
        <v>69272</v>
      </c>
    </row>
    <row r="931" spans="1:6" x14ac:dyDescent="0.3">
      <c r="A931" t="s">
        <v>77</v>
      </c>
      <c r="B931">
        <v>2023</v>
      </c>
      <c r="C931">
        <v>45603</v>
      </c>
      <c r="D931">
        <v>15420</v>
      </c>
      <c r="E931">
        <v>6975</v>
      </c>
      <c r="F931">
        <v>76051</v>
      </c>
    </row>
    <row r="932" spans="1:6" x14ac:dyDescent="0.3">
      <c r="A932" t="s">
        <v>77</v>
      </c>
      <c r="B932">
        <v>2024</v>
      </c>
      <c r="C932">
        <v>45843</v>
      </c>
      <c r="D932">
        <v>15573</v>
      </c>
      <c r="E932">
        <v>9301</v>
      </c>
      <c r="F932">
        <v>77845</v>
      </c>
    </row>
    <row r="933" spans="1:6" x14ac:dyDescent="0.3">
      <c r="A933" t="s">
        <v>78</v>
      </c>
      <c r="C933">
        <v>51490</v>
      </c>
      <c r="D933">
        <v>14885</v>
      </c>
    </row>
    <row r="934" spans="1:6" x14ac:dyDescent="0.3">
      <c r="A934" t="s">
        <v>78</v>
      </c>
      <c r="B934">
        <v>2013</v>
      </c>
      <c r="C934">
        <v>13634</v>
      </c>
      <c r="D934">
        <v>3833</v>
      </c>
      <c r="E934">
        <v>987</v>
      </c>
      <c r="F934">
        <v>16543</v>
      </c>
    </row>
    <row r="935" spans="1:6" x14ac:dyDescent="0.3">
      <c r="A935" t="s">
        <v>78</v>
      </c>
      <c r="B935">
        <v>2014</v>
      </c>
      <c r="C935">
        <v>17223</v>
      </c>
      <c r="D935">
        <v>4741</v>
      </c>
      <c r="E935">
        <v>987</v>
      </c>
      <c r="F935">
        <v>19816</v>
      </c>
    </row>
    <row r="936" spans="1:6" x14ac:dyDescent="0.3">
      <c r="A936" t="s">
        <v>78</v>
      </c>
      <c r="B936">
        <v>2015</v>
      </c>
      <c r="C936">
        <v>20544</v>
      </c>
      <c r="D936">
        <v>5344</v>
      </c>
      <c r="E936">
        <v>987</v>
      </c>
      <c r="F936">
        <v>24085</v>
      </c>
    </row>
    <row r="937" spans="1:6" x14ac:dyDescent="0.3">
      <c r="A937" t="s">
        <v>78</v>
      </c>
      <c r="B937">
        <v>2016</v>
      </c>
      <c r="C937">
        <v>24125</v>
      </c>
      <c r="D937">
        <v>5691</v>
      </c>
      <c r="E937">
        <v>987</v>
      </c>
      <c r="F937">
        <v>27906</v>
      </c>
    </row>
    <row r="938" spans="1:6" x14ac:dyDescent="0.3">
      <c r="A938" t="s">
        <v>78</v>
      </c>
      <c r="B938">
        <v>2017</v>
      </c>
      <c r="C938">
        <v>24338</v>
      </c>
      <c r="D938">
        <v>6313</v>
      </c>
      <c r="E938">
        <v>1975</v>
      </c>
      <c r="F938">
        <v>31696</v>
      </c>
    </row>
    <row r="939" spans="1:6" x14ac:dyDescent="0.3">
      <c r="A939" t="s">
        <v>78</v>
      </c>
      <c r="B939">
        <v>2018</v>
      </c>
      <c r="C939">
        <v>22658</v>
      </c>
      <c r="D939">
        <v>4451</v>
      </c>
      <c r="E939">
        <v>1975</v>
      </c>
      <c r="F939">
        <v>30613</v>
      </c>
    </row>
    <row r="940" spans="1:6" x14ac:dyDescent="0.3">
      <c r="A940" t="s">
        <v>78</v>
      </c>
      <c r="B940">
        <v>2019</v>
      </c>
      <c r="C940">
        <v>25408</v>
      </c>
      <c r="D940">
        <v>5741</v>
      </c>
      <c r="E940">
        <v>1975</v>
      </c>
      <c r="F940">
        <v>32571</v>
      </c>
    </row>
    <row r="941" spans="1:6" x14ac:dyDescent="0.3">
      <c r="A941" t="s">
        <v>78</v>
      </c>
      <c r="B941">
        <v>2020</v>
      </c>
      <c r="C941">
        <v>29942</v>
      </c>
      <c r="D941">
        <v>4972</v>
      </c>
      <c r="E941">
        <v>1975</v>
      </c>
      <c r="F941">
        <v>33422</v>
      </c>
    </row>
    <row r="942" spans="1:6" x14ac:dyDescent="0.3">
      <c r="A942" t="s">
        <v>78</v>
      </c>
      <c r="B942">
        <v>2021</v>
      </c>
      <c r="C942">
        <v>35557</v>
      </c>
      <c r="D942">
        <v>8378</v>
      </c>
      <c r="E942">
        <v>1975</v>
      </c>
      <c r="F942">
        <v>41789</v>
      </c>
    </row>
    <row r="943" spans="1:6" x14ac:dyDescent="0.3">
      <c r="A943" t="s">
        <v>78</v>
      </c>
      <c r="B943">
        <v>2022</v>
      </c>
      <c r="C943">
        <v>39276</v>
      </c>
      <c r="D943">
        <v>10036</v>
      </c>
      <c r="E943">
        <v>1975</v>
      </c>
      <c r="F943">
        <v>49339</v>
      </c>
    </row>
    <row r="944" spans="1:6" x14ac:dyDescent="0.3">
      <c r="A944" t="s">
        <v>78</v>
      </c>
      <c r="B944">
        <v>2023</v>
      </c>
      <c r="C944">
        <v>39486</v>
      </c>
      <c r="D944">
        <v>11167</v>
      </c>
      <c r="E944">
        <v>2633</v>
      </c>
      <c r="F944">
        <v>55487</v>
      </c>
    </row>
    <row r="945" spans="1:6" x14ac:dyDescent="0.3">
      <c r="A945" t="s">
        <v>78</v>
      </c>
      <c r="B945">
        <v>2024</v>
      </c>
      <c r="C945">
        <v>47517</v>
      </c>
      <c r="D945">
        <v>14145</v>
      </c>
      <c r="E945">
        <v>2633</v>
      </c>
      <c r="F945">
        <v>66717</v>
      </c>
    </row>
    <row r="946" spans="1:6" x14ac:dyDescent="0.3">
      <c r="A946" t="s">
        <v>79</v>
      </c>
      <c r="C946">
        <v>939838</v>
      </c>
      <c r="D946">
        <v>79941</v>
      </c>
    </row>
    <row r="947" spans="1:6" x14ac:dyDescent="0.3">
      <c r="A947" t="s">
        <v>79</v>
      </c>
      <c r="B947">
        <v>2013</v>
      </c>
      <c r="C947">
        <v>395957</v>
      </c>
      <c r="D947">
        <v>20886</v>
      </c>
      <c r="E947">
        <v>2936</v>
      </c>
      <c r="F947">
        <v>179119</v>
      </c>
    </row>
    <row r="948" spans="1:6" x14ac:dyDescent="0.3">
      <c r="A948" t="s">
        <v>79</v>
      </c>
      <c r="B948">
        <v>2014</v>
      </c>
      <c r="C948">
        <v>433521</v>
      </c>
      <c r="D948">
        <v>22548</v>
      </c>
      <c r="E948">
        <v>2940</v>
      </c>
      <c r="F948">
        <v>195747</v>
      </c>
    </row>
    <row r="949" spans="1:6" x14ac:dyDescent="0.3">
      <c r="A949" t="s">
        <v>79</v>
      </c>
      <c r="B949">
        <v>2015</v>
      </c>
      <c r="C949">
        <v>374372</v>
      </c>
      <c r="D949">
        <v>23640</v>
      </c>
      <c r="E949">
        <v>2943</v>
      </c>
      <c r="F949">
        <v>215556</v>
      </c>
    </row>
    <row r="950" spans="1:6" x14ac:dyDescent="0.3">
      <c r="A950" t="s">
        <v>79</v>
      </c>
      <c r="B950">
        <v>2016</v>
      </c>
      <c r="C950">
        <v>272583</v>
      </c>
      <c r="D950">
        <v>29861</v>
      </c>
      <c r="E950">
        <v>2948</v>
      </c>
      <c r="F950">
        <v>228608</v>
      </c>
    </row>
    <row r="951" spans="1:6" x14ac:dyDescent="0.3">
      <c r="A951" t="s">
        <v>79</v>
      </c>
      <c r="B951">
        <v>2017</v>
      </c>
      <c r="C951">
        <v>303954</v>
      </c>
      <c r="D951">
        <v>29833</v>
      </c>
      <c r="E951">
        <v>2959</v>
      </c>
      <c r="F951">
        <v>260750</v>
      </c>
    </row>
    <row r="952" spans="1:6" x14ac:dyDescent="0.3">
      <c r="A952" t="s">
        <v>79</v>
      </c>
      <c r="B952">
        <v>2018</v>
      </c>
      <c r="C952">
        <v>390823</v>
      </c>
      <c r="D952">
        <v>36080</v>
      </c>
      <c r="E952">
        <v>5922</v>
      </c>
      <c r="F952">
        <v>287584</v>
      </c>
    </row>
    <row r="953" spans="1:6" x14ac:dyDescent="0.3">
      <c r="A953" t="s">
        <v>79</v>
      </c>
      <c r="B953">
        <v>2019</v>
      </c>
      <c r="C953">
        <v>568337</v>
      </c>
      <c r="D953">
        <v>39837</v>
      </c>
      <c r="E953">
        <v>5926</v>
      </c>
      <c r="F953">
        <v>381186</v>
      </c>
    </row>
    <row r="954" spans="1:6" x14ac:dyDescent="0.3">
      <c r="A954" t="s">
        <v>79</v>
      </c>
      <c r="B954">
        <v>2020</v>
      </c>
      <c r="C954">
        <v>596679</v>
      </c>
      <c r="D954">
        <v>39880</v>
      </c>
      <c r="E954">
        <v>6339</v>
      </c>
      <c r="F954">
        <v>442827</v>
      </c>
    </row>
    <row r="955" spans="1:6" x14ac:dyDescent="0.3">
      <c r="A955" t="s">
        <v>79</v>
      </c>
      <c r="B955">
        <v>2021</v>
      </c>
      <c r="C955">
        <v>466307</v>
      </c>
      <c r="D955">
        <v>53739</v>
      </c>
      <c r="E955">
        <v>6445</v>
      </c>
      <c r="F955">
        <v>693727</v>
      </c>
    </row>
    <row r="956" spans="1:6" x14ac:dyDescent="0.3">
      <c r="A956" t="s">
        <v>79</v>
      </c>
      <c r="B956">
        <v>2022</v>
      </c>
      <c r="C956">
        <v>694673</v>
      </c>
      <c r="D956">
        <v>67845</v>
      </c>
      <c r="E956">
        <v>6765</v>
      </c>
      <c r="F956">
        <v>772720</v>
      </c>
    </row>
    <row r="957" spans="1:6" x14ac:dyDescent="0.3">
      <c r="A957" t="s">
        <v>79</v>
      </c>
      <c r="B957">
        <v>2023</v>
      </c>
      <c r="C957">
        <v>876396</v>
      </c>
      <c r="D957">
        <v>74088</v>
      </c>
      <c r="E957">
        <v>6766</v>
      </c>
      <c r="F957">
        <v>709106</v>
      </c>
    </row>
    <row r="958" spans="1:6" x14ac:dyDescent="0.3">
      <c r="A958" t="s">
        <v>79</v>
      </c>
      <c r="B958">
        <v>2024</v>
      </c>
      <c r="C958">
        <v>899041</v>
      </c>
      <c r="D958">
        <v>79020</v>
      </c>
      <c r="E958">
        <v>6766</v>
      </c>
      <c r="F958">
        <v>786715</v>
      </c>
    </row>
    <row r="959" spans="1:6" x14ac:dyDescent="0.3">
      <c r="A959" t="s">
        <v>80</v>
      </c>
      <c r="C959">
        <v>130073</v>
      </c>
      <c r="D959">
        <v>2411</v>
      </c>
    </row>
    <row r="960" spans="1:6" x14ac:dyDescent="0.3">
      <c r="A960" t="s">
        <v>80</v>
      </c>
      <c r="B960">
        <v>2013</v>
      </c>
      <c r="C960">
        <v>14870</v>
      </c>
      <c r="D960">
        <v>630</v>
      </c>
      <c r="E960">
        <v>1000</v>
      </c>
      <c r="F960">
        <v>1736</v>
      </c>
    </row>
    <row r="961" spans="1:6" x14ac:dyDescent="0.3">
      <c r="A961" t="s">
        <v>80</v>
      </c>
      <c r="B961">
        <v>2014</v>
      </c>
      <c r="C961">
        <v>17258</v>
      </c>
      <c r="D961">
        <v>728</v>
      </c>
      <c r="E961">
        <v>1000</v>
      </c>
      <c r="F961">
        <v>2356</v>
      </c>
    </row>
    <row r="962" spans="1:6" x14ac:dyDescent="0.3">
      <c r="A962" t="s">
        <v>80</v>
      </c>
      <c r="B962">
        <v>2015</v>
      </c>
      <c r="C962">
        <v>23399</v>
      </c>
      <c r="D962">
        <v>815</v>
      </c>
      <c r="E962">
        <v>1000</v>
      </c>
      <c r="F962">
        <v>3056</v>
      </c>
    </row>
    <row r="963" spans="1:6" x14ac:dyDescent="0.3">
      <c r="A963" t="s">
        <v>80</v>
      </c>
      <c r="B963">
        <v>2016</v>
      </c>
      <c r="C963">
        <v>19324</v>
      </c>
      <c r="D963">
        <v>844</v>
      </c>
      <c r="E963">
        <v>1000</v>
      </c>
      <c r="F963">
        <v>3733</v>
      </c>
    </row>
    <row r="964" spans="1:6" x14ac:dyDescent="0.3">
      <c r="A964" t="s">
        <v>80</v>
      </c>
      <c r="B964">
        <v>2017</v>
      </c>
      <c r="C964">
        <v>30548</v>
      </c>
      <c r="D964">
        <v>955</v>
      </c>
      <c r="E964">
        <v>1000</v>
      </c>
      <c r="F964">
        <v>4552</v>
      </c>
    </row>
    <row r="965" spans="1:6" x14ac:dyDescent="0.3">
      <c r="A965" t="s">
        <v>80</v>
      </c>
      <c r="B965">
        <v>2018</v>
      </c>
      <c r="C965">
        <v>34068</v>
      </c>
      <c r="D965">
        <v>1150</v>
      </c>
      <c r="E965">
        <v>1000</v>
      </c>
      <c r="F965">
        <v>5528</v>
      </c>
    </row>
    <row r="966" spans="1:6" x14ac:dyDescent="0.3">
      <c r="A966" t="s">
        <v>80</v>
      </c>
      <c r="B966">
        <v>2019</v>
      </c>
      <c r="C966">
        <v>44604</v>
      </c>
      <c r="D966">
        <v>1327</v>
      </c>
      <c r="E966">
        <v>1000</v>
      </c>
      <c r="F966">
        <v>6576</v>
      </c>
    </row>
    <row r="967" spans="1:6" x14ac:dyDescent="0.3">
      <c r="A967" t="s">
        <v>80</v>
      </c>
      <c r="B967">
        <v>2020</v>
      </c>
      <c r="C967">
        <v>43798</v>
      </c>
      <c r="D967">
        <v>1422</v>
      </c>
      <c r="E967">
        <v>1000</v>
      </c>
      <c r="F967">
        <v>7743</v>
      </c>
    </row>
    <row r="968" spans="1:6" x14ac:dyDescent="0.3">
      <c r="A968" t="s">
        <v>80</v>
      </c>
      <c r="B968">
        <v>2021</v>
      </c>
      <c r="C968">
        <v>81913</v>
      </c>
      <c r="D968">
        <v>1456</v>
      </c>
      <c r="E968">
        <v>1000</v>
      </c>
      <c r="F968">
        <v>9400</v>
      </c>
    </row>
    <row r="969" spans="1:6" x14ac:dyDescent="0.3">
      <c r="A969" t="s">
        <v>80</v>
      </c>
      <c r="B969">
        <v>2022</v>
      </c>
      <c r="C969">
        <v>82983</v>
      </c>
      <c r="D969">
        <v>1506</v>
      </c>
      <c r="E969">
        <v>1000</v>
      </c>
      <c r="F969">
        <v>10622</v>
      </c>
    </row>
    <row r="970" spans="1:6" x14ac:dyDescent="0.3">
      <c r="A970" t="s">
        <v>80</v>
      </c>
      <c r="B970">
        <v>2023</v>
      </c>
      <c r="C970">
        <v>80636</v>
      </c>
      <c r="D970">
        <v>1721</v>
      </c>
      <c r="E970">
        <v>1001</v>
      </c>
      <c r="F970">
        <v>12017</v>
      </c>
    </row>
    <row r="971" spans="1:6" x14ac:dyDescent="0.3">
      <c r="A971" t="s">
        <v>80</v>
      </c>
      <c r="B971">
        <v>2024</v>
      </c>
      <c r="C971">
        <v>131988</v>
      </c>
      <c r="D971">
        <v>1894</v>
      </c>
      <c r="E971">
        <v>1001</v>
      </c>
      <c r="F971">
        <v>13907</v>
      </c>
    </row>
    <row r="972" spans="1:6" x14ac:dyDescent="0.3">
      <c r="A972" t="s">
        <v>81</v>
      </c>
      <c r="C972">
        <v>469625</v>
      </c>
      <c r="D972">
        <v>74461</v>
      </c>
    </row>
    <row r="973" spans="1:6" x14ac:dyDescent="0.3">
      <c r="A973" t="s">
        <v>81</v>
      </c>
      <c r="B973">
        <v>2013</v>
      </c>
      <c r="C973">
        <v>167976</v>
      </c>
      <c r="D973">
        <v>18555</v>
      </c>
    </row>
    <row r="974" spans="1:6" x14ac:dyDescent="0.3">
      <c r="A974" t="s">
        <v>81</v>
      </c>
      <c r="B974">
        <v>2014</v>
      </c>
      <c r="C974">
        <v>189062</v>
      </c>
      <c r="D974">
        <v>14807</v>
      </c>
    </row>
    <row r="975" spans="1:6" x14ac:dyDescent="0.3">
      <c r="A975" t="s">
        <v>81</v>
      </c>
      <c r="B975">
        <v>2015</v>
      </c>
      <c r="C975">
        <v>207974</v>
      </c>
      <c r="D975">
        <v>17832</v>
      </c>
    </row>
    <row r="976" spans="1:6" x14ac:dyDescent="0.3">
      <c r="A976" t="s">
        <v>81</v>
      </c>
      <c r="B976">
        <v>2016</v>
      </c>
      <c r="C976">
        <v>220633</v>
      </c>
      <c r="D976">
        <v>13019</v>
      </c>
    </row>
    <row r="977" spans="1:6" x14ac:dyDescent="0.3">
      <c r="A977" t="s">
        <v>81</v>
      </c>
      <c r="B977">
        <v>2017</v>
      </c>
      <c r="C977">
        <v>230447</v>
      </c>
      <c r="D977">
        <v>-97</v>
      </c>
    </row>
    <row r="978" spans="1:6" x14ac:dyDescent="0.3">
      <c r="A978" t="s">
        <v>81</v>
      </c>
      <c r="B978">
        <v>2018</v>
      </c>
      <c r="C978">
        <v>228970</v>
      </c>
      <c r="D978">
        <v>-3749</v>
      </c>
    </row>
    <row r="979" spans="1:6" x14ac:dyDescent="0.3">
      <c r="A979" t="s">
        <v>81</v>
      </c>
      <c r="B979">
        <v>2019</v>
      </c>
      <c r="C979">
        <v>253322</v>
      </c>
      <c r="D979">
        <v>3351</v>
      </c>
    </row>
    <row r="980" spans="1:6" x14ac:dyDescent="0.3">
      <c r="A980" t="s">
        <v>81</v>
      </c>
      <c r="B980">
        <v>2020</v>
      </c>
      <c r="C980">
        <v>269852</v>
      </c>
      <c r="D980">
        <v>21140</v>
      </c>
    </row>
    <row r="981" spans="1:6" x14ac:dyDescent="0.3">
      <c r="A981" t="s">
        <v>81</v>
      </c>
      <c r="B981">
        <v>2021</v>
      </c>
      <c r="C981">
        <v>278115</v>
      </c>
      <c r="D981">
        <v>23888</v>
      </c>
    </row>
    <row r="982" spans="1:6" x14ac:dyDescent="0.3">
      <c r="A982" t="s">
        <v>81</v>
      </c>
      <c r="B982">
        <v>2022</v>
      </c>
      <c r="C982">
        <v>289973</v>
      </c>
      <c r="D982">
        <v>37183</v>
      </c>
    </row>
    <row r="983" spans="1:6" x14ac:dyDescent="0.3">
      <c r="A983" t="s">
        <v>81</v>
      </c>
      <c r="B983">
        <v>2023</v>
      </c>
      <c r="C983">
        <v>350845</v>
      </c>
      <c r="D983">
        <v>57750</v>
      </c>
    </row>
    <row r="984" spans="1:6" x14ac:dyDescent="0.3">
      <c r="A984" t="s">
        <v>81</v>
      </c>
      <c r="B984">
        <v>2024</v>
      </c>
      <c r="C984">
        <v>439189</v>
      </c>
      <c r="D984">
        <v>69543</v>
      </c>
    </row>
    <row r="985" spans="1:6" x14ac:dyDescent="0.3">
      <c r="A985" t="s">
        <v>82</v>
      </c>
      <c r="C985">
        <v>19802</v>
      </c>
      <c r="D985">
        <v>1733</v>
      </c>
    </row>
    <row r="986" spans="1:6" x14ac:dyDescent="0.3">
      <c r="A986" t="s">
        <v>82</v>
      </c>
      <c r="B986">
        <v>2013</v>
      </c>
      <c r="C986">
        <v>5418</v>
      </c>
      <c r="D986">
        <v>1004</v>
      </c>
      <c r="E986">
        <v>35</v>
      </c>
      <c r="F986">
        <v>3809</v>
      </c>
    </row>
    <row r="987" spans="1:6" x14ac:dyDescent="0.3">
      <c r="A987" t="s">
        <v>82</v>
      </c>
      <c r="B987">
        <v>2014</v>
      </c>
      <c r="C987">
        <v>5715</v>
      </c>
      <c r="D987">
        <v>787</v>
      </c>
      <c r="E987">
        <v>35</v>
      </c>
      <c r="F987">
        <v>4676</v>
      </c>
    </row>
    <row r="988" spans="1:6" x14ac:dyDescent="0.3">
      <c r="A988" t="s">
        <v>82</v>
      </c>
      <c r="B988">
        <v>2015</v>
      </c>
      <c r="C988">
        <v>6259</v>
      </c>
      <c r="D988">
        <v>426</v>
      </c>
      <c r="E988">
        <v>35</v>
      </c>
      <c r="F988">
        <v>5241</v>
      </c>
    </row>
    <row r="989" spans="1:6" x14ac:dyDescent="0.3">
      <c r="A989" t="s">
        <v>82</v>
      </c>
      <c r="B989">
        <v>2016</v>
      </c>
      <c r="C989">
        <v>5514</v>
      </c>
      <c r="D989">
        <v>1143</v>
      </c>
      <c r="E989">
        <v>35</v>
      </c>
      <c r="F989">
        <v>6811</v>
      </c>
    </row>
    <row r="990" spans="1:6" x14ac:dyDescent="0.3">
      <c r="A990" t="s">
        <v>82</v>
      </c>
      <c r="B990">
        <v>2017</v>
      </c>
      <c r="C990">
        <v>8594</v>
      </c>
      <c r="D990">
        <v>1339</v>
      </c>
      <c r="E990">
        <v>35</v>
      </c>
      <c r="F990">
        <v>7663</v>
      </c>
    </row>
    <row r="991" spans="1:6" x14ac:dyDescent="0.3">
      <c r="A991" t="s">
        <v>82</v>
      </c>
      <c r="B991">
        <v>2018</v>
      </c>
      <c r="C991">
        <v>9833</v>
      </c>
      <c r="D991">
        <v>1384</v>
      </c>
      <c r="E991">
        <v>35</v>
      </c>
      <c r="F991">
        <v>8862</v>
      </c>
    </row>
    <row r="992" spans="1:6" x14ac:dyDescent="0.3">
      <c r="A992" t="s">
        <v>82</v>
      </c>
      <c r="B992">
        <v>2019</v>
      </c>
      <c r="C992">
        <v>12555</v>
      </c>
      <c r="D992">
        <v>1015</v>
      </c>
      <c r="E992">
        <v>35</v>
      </c>
      <c r="F992">
        <v>9636</v>
      </c>
    </row>
    <row r="993" spans="1:6" x14ac:dyDescent="0.3">
      <c r="A993" t="s">
        <v>82</v>
      </c>
      <c r="B993">
        <v>2020</v>
      </c>
      <c r="C993">
        <v>12868</v>
      </c>
      <c r="D993">
        <v>1544</v>
      </c>
      <c r="E993">
        <v>36</v>
      </c>
      <c r="F993">
        <v>13133</v>
      </c>
    </row>
    <row r="994" spans="1:6" x14ac:dyDescent="0.3">
      <c r="A994" t="s">
        <v>82</v>
      </c>
      <c r="B994">
        <v>2021</v>
      </c>
      <c r="C994">
        <v>13560</v>
      </c>
      <c r="D994">
        <v>2337</v>
      </c>
      <c r="E994">
        <v>36</v>
      </c>
      <c r="F994">
        <v>15361</v>
      </c>
    </row>
    <row r="995" spans="1:6" x14ac:dyDescent="0.3">
      <c r="A995" t="s">
        <v>82</v>
      </c>
      <c r="B995">
        <v>2022</v>
      </c>
      <c r="C995">
        <v>15010</v>
      </c>
      <c r="D995">
        <v>1269</v>
      </c>
      <c r="E995">
        <v>36</v>
      </c>
      <c r="F995">
        <v>17424</v>
      </c>
    </row>
    <row r="996" spans="1:6" x14ac:dyDescent="0.3">
      <c r="A996" t="s">
        <v>82</v>
      </c>
      <c r="B996">
        <v>2023</v>
      </c>
      <c r="C996">
        <v>17852</v>
      </c>
      <c r="D996">
        <v>2369</v>
      </c>
      <c r="E996">
        <v>36</v>
      </c>
      <c r="F996">
        <v>18600</v>
      </c>
    </row>
    <row r="997" spans="1:6" x14ac:dyDescent="0.3">
      <c r="A997" t="s">
        <v>82</v>
      </c>
      <c r="B997">
        <v>2024</v>
      </c>
      <c r="C997">
        <v>20521</v>
      </c>
      <c r="D997">
        <v>1733</v>
      </c>
      <c r="E997">
        <v>36</v>
      </c>
      <c r="F997">
        <v>20667</v>
      </c>
    </row>
    <row r="998" spans="1:6" x14ac:dyDescent="0.3">
      <c r="A998" t="s">
        <v>83</v>
      </c>
      <c r="C998">
        <v>39864</v>
      </c>
      <c r="D998">
        <v>9454</v>
      </c>
    </row>
    <row r="999" spans="1:6" x14ac:dyDescent="0.3">
      <c r="A999" t="s">
        <v>83</v>
      </c>
      <c r="B999">
        <v>2013</v>
      </c>
      <c r="C999">
        <v>7009</v>
      </c>
      <c r="D999">
        <v>1463</v>
      </c>
      <c r="E999">
        <v>227</v>
      </c>
      <c r="F999">
        <v>7111</v>
      </c>
    </row>
    <row r="1000" spans="1:6" x14ac:dyDescent="0.3">
      <c r="A1000" t="s">
        <v>83</v>
      </c>
      <c r="B1000">
        <v>2014</v>
      </c>
      <c r="C1000">
        <v>8476</v>
      </c>
      <c r="D1000">
        <v>1358</v>
      </c>
      <c r="E1000">
        <v>227</v>
      </c>
      <c r="F1000">
        <v>8283</v>
      </c>
    </row>
    <row r="1001" spans="1:6" x14ac:dyDescent="0.3">
      <c r="A1001" t="s">
        <v>83</v>
      </c>
      <c r="B1001">
        <v>2015</v>
      </c>
      <c r="C1001">
        <v>9177</v>
      </c>
      <c r="D1001">
        <v>1028</v>
      </c>
      <c r="E1001">
        <v>227</v>
      </c>
      <c r="F1001">
        <v>9039</v>
      </c>
    </row>
    <row r="1002" spans="1:6" x14ac:dyDescent="0.3">
      <c r="A1002" t="s">
        <v>83</v>
      </c>
      <c r="B1002">
        <v>2016</v>
      </c>
      <c r="C1002">
        <v>10359</v>
      </c>
      <c r="D1002">
        <v>1184</v>
      </c>
      <c r="E1002">
        <v>227</v>
      </c>
      <c r="F1002">
        <v>9949</v>
      </c>
    </row>
    <row r="1003" spans="1:6" x14ac:dyDescent="0.3">
      <c r="A1003" t="s">
        <v>83</v>
      </c>
      <c r="B1003">
        <v>2017</v>
      </c>
      <c r="C1003">
        <v>10903</v>
      </c>
      <c r="D1003">
        <v>1266</v>
      </c>
      <c r="E1003">
        <v>227</v>
      </c>
      <c r="F1003">
        <v>11105</v>
      </c>
    </row>
    <row r="1004" spans="1:6" x14ac:dyDescent="0.3">
      <c r="A1004" t="s">
        <v>83</v>
      </c>
      <c r="B1004">
        <v>2018</v>
      </c>
      <c r="C1004">
        <v>13502</v>
      </c>
      <c r="D1004">
        <v>2549</v>
      </c>
      <c r="E1004">
        <v>227</v>
      </c>
      <c r="F1004">
        <v>13463</v>
      </c>
    </row>
    <row r="1005" spans="1:6" x14ac:dyDescent="0.3">
      <c r="A1005" t="s">
        <v>83</v>
      </c>
      <c r="B1005">
        <v>2019</v>
      </c>
      <c r="C1005">
        <v>15536</v>
      </c>
      <c r="D1005">
        <v>2576</v>
      </c>
      <c r="E1005">
        <v>227</v>
      </c>
      <c r="F1005">
        <v>15736</v>
      </c>
    </row>
    <row r="1006" spans="1:6" x14ac:dyDescent="0.3">
      <c r="A1006" t="s">
        <v>83</v>
      </c>
      <c r="B1006">
        <v>2020</v>
      </c>
      <c r="C1006">
        <v>16561</v>
      </c>
      <c r="D1006">
        <v>2512</v>
      </c>
      <c r="E1006">
        <v>227</v>
      </c>
      <c r="F1006">
        <v>17915</v>
      </c>
    </row>
    <row r="1007" spans="1:6" x14ac:dyDescent="0.3">
      <c r="A1007" t="s">
        <v>83</v>
      </c>
      <c r="B1007">
        <v>2021</v>
      </c>
      <c r="C1007">
        <v>17422</v>
      </c>
      <c r="D1007">
        <v>2499</v>
      </c>
      <c r="E1007">
        <v>253</v>
      </c>
      <c r="F1007">
        <v>21464</v>
      </c>
    </row>
    <row r="1008" spans="1:6" x14ac:dyDescent="0.3">
      <c r="A1008" t="s">
        <v>83</v>
      </c>
      <c r="B1008">
        <v>2022</v>
      </c>
      <c r="C1008">
        <v>19255</v>
      </c>
      <c r="D1008">
        <v>2721</v>
      </c>
      <c r="E1008">
        <v>271</v>
      </c>
      <c r="F1008">
        <v>25824</v>
      </c>
    </row>
    <row r="1009" spans="1:6" x14ac:dyDescent="0.3">
      <c r="A1009" t="s">
        <v>83</v>
      </c>
      <c r="B1009">
        <v>2023</v>
      </c>
      <c r="C1009">
        <v>30492</v>
      </c>
      <c r="D1009">
        <v>6020</v>
      </c>
      <c r="E1009">
        <v>374</v>
      </c>
      <c r="F1009">
        <v>43138</v>
      </c>
    </row>
    <row r="1010" spans="1:6" x14ac:dyDescent="0.3">
      <c r="A1010" t="s">
        <v>83</v>
      </c>
      <c r="B1010">
        <v>2024</v>
      </c>
      <c r="C1010">
        <v>36388</v>
      </c>
      <c r="D1010">
        <v>7399</v>
      </c>
      <c r="E1010">
        <v>376</v>
      </c>
      <c r="F1010">
        <v>48571</v>
      </c>
    </row>
    <row r="1011" spans="1:6" x14ac:dyDescent="0.3">
      <c r="A1011" t="s">
        <v>84</v>
      </c>
      <c r="B1011">
        <v>2011</v>
      </c>
      <c r="C1011">
        <v>11955</v>
      </c>
      <c r="D1011">
        <v>868</v>
      </c>
      <c r="E1011">
        <v>68</v>
      </c>
      <c r="F1011">
        <v>3748</v>
      </c>
    </row>
    <row r="1012" spans="1:6" x14ac:dyDescent="0.3">
      <c r="A1012" t="s">
        <v>84</v>
      </c>
      <c r="B1012">
        <v>2014</v>
      </c>
      <c r="C1012">
        <v>10678</v>
      </c>
      <c r="D1012">
        <v>603</v>
      </c>
      <c r="E1012">
        <v>71</v>
      </c>
      <c r="F1012">
        <v>4304</v>
      </c>
    </row>
    <row r="1013" spans="1:6" x14ac:dyDescent="0.3">
      <c r="A1013" t="s">
        <v>84</v>
      </c>
      <c r="B1013">
        <v>2015</v>
      </c>
      <c r="C1013">
        <v>10563</v>
      </c>
      <c r="D1013">
        <v>1174</v>
      </c>
      <c r="E1013">
        <v>71</v>
      </c>
      <c r="F1013">
        <v>5046</v>
      </c>
    </row>
    <row r="1014" spans="1:6" x14ac:dyDescent="0.3">
      <c r="A1014" t="s">
        <v>84</v>
      </c>
      <c r="B1014">
        <v>2016</v>
      </c>
      <c r="C1014">
        <v>10837</v>
      </c>
      <c r="D1014">
        <v>2914</v>
      </c>
      <c r="E1014">
        <v>71</v>
      </c>
      <c r="F1014">
        <v>6732</v>
      </c>
    </row>
    <row r="1015" spans="1:6" x14ac:dyDescent="0.3">
      <c r="A1015" t="s">
        <v>84</v>
      </c>
      <c r="B1015">
        <v>2017</v>
      </c>
      <c r="C1015">
        <v>11065</v>
      </c>
      <c r="D1015">
        <v>1137</v>
      </c>
      <c r="E1015">
        <v>71</v>
      </c>
      <c r="F1015">
        <v>7619</v>
      </c>
    </row>
    <row r="1016" spans="1:6" x14ac:dyDescent="0.3">
      <c r="A1016" t="s">
        <v>84</v>
      </c>
      <c r="B1016">
        <v>2018</v>
      </c>
      <c r="C1016">
        <v>12795</v>
      </c>
      <c r="D1016">
        <v>901</v>
      </c>
      <c r="E1016">
        <v>71</v>
      </c>
      <c r="F1016">
        <v>8228</v>
      </c>
    </row>
    <row r="1017" spans="1:6" x14ac:dyDescent="0.3">
      <c r="A1017" t="s">
        <v>84</v>
      </c>
      <c r="B1017">
        <v>2019</v>
      </c>
      <c r="C1017">
        <v>13084</v>
      </c>
      <c r="D1017">
        <v>1099</v>
      </c>
      <c r="E1017">
        <v>71</v>
      </c>
      <c r="F1017">
        <v>8978</v>
      </c>
    </row>
    <row r="1018" spans="1:6" x14ac:dyDescent="0.3">
      <c r="A1018" t="s">
        <v>84</v>
      </c>
      <c r="B1018">
        <v>2020</v>
      </c>
      <c r="C1018">
        <v>9946</v>
      </c>
      <c r="D1018">
        <v>769</v>
      </c>
      <c r="E1018">
        <v>71</v>
      </c>
      <c r="F1018">
        <v>9421</v>
      </c>
    </row>
    <row r="1019" spans="1:6" x14ac:dyDescent="0.3">
      <c r="A1019" t="s">
        <v>84</v>
      </c>
      <c r="B1019">
        <v>2021</v>
      </c>
      <c r="C1019">
        <v>13198</v>
      </c>
      <c r="D1019">
        <v>1089</v>
      </c>
      <c r="E1019">
        <v>71</v>
      </c>
      <c r="F1019">
        <v>10276</v>
      </c>
    </row>
    <row r="1020" spans="1:6" x14ac:dyDescent="0.3">
      <c r="A1020" t="s">
        <v>84</v>
      </c>
      <c r="B1020">
        <v>2022</v>
      </c>
      <c r="C1020">
        <v>16138</v>
      </c>
      <c r="D1020">
        <v>1543</v>
      </c>
      <c r="E1020">
        <v>71</v>
      </c>
      <c r="F1020">
        <v>11539</v>
      </c>
    </row>
    <row r="1021" spans="1:6" x14ac:dyDescent="0.3">
      <c r="A1021" t="s">
        <v>84</v>
      </c>
      <c r="B1021">
        <v>2023</v>
      </c>
      <c r="C1021">
        <v>19554</v>
      </c>
      <c r="D1021">
        <v>1962</v>
      </c>
      <c r="E1021">
        <v>71</v>
      </c>
      <c r="F1021">
        <v>13016</v>
      </c>
    </row>
    <row r="1022" spans="1:6" x14ac:dyDescent="0.3">
      <c r="A1022" t="s">
        <v>84</v>
      </c>
      <c r="B1022">
        <v>2024</v>
      </c>
      <c r="C1022">
        <v>22240</v>
      </c>
      <c r="D1022">
        <v>2718</v>
      </c>
      <c r="E1022">
        <v>71</v>
      </c>
      <c r="F1022">
        <v>15286</v>
      </c>
    </row>
    <row r="1023" spans="1:6" x14ac:dyDescent="0.3">
      <c r="A1023" t="s">
        <v>85</v>
      </c>
      <c r="C1023">
        <v>50308</v>
      </c>
      <c r="D1023">
        <v>11117</v>
      </c>
    </row>
    <row r="1024" spans="1:6" x14ac:dyDescent="0.3">
      <c r="A1024" t="s">
        <v>85</v>
      </c>
      <c r="B1024">
        <v>2013</v>
      </c>
      <c r="C1024">
        <v>11131</v>
      </c>
      <c r="D1024">
        <v>3469</v>
      </c>
      <c r="E1024">
        <v>104</v>
      </c>
      <c r="F1024">
        <v>14886</v>
      </c>
    </row>
    <row r="1025" spans="1:6" x14ac:dyDescent="0.3">
      <c r="A1025" t="s">
        <v>85</v>
      </c>
      <c r="B1025">
        <v>2014</v>
      </c>
      <c r="C1025">
        <v>16080</v>
      </c>
      <c r="D1025">
        <v>3879</v>
      </c>
      <c r="E1025">
        <v>207</v>
      </c>
      <c r="F1025">
        <v>18318</v>
      </c>
    </row>
    <row r="1026" spans="1:6" x14ac:dyDescent="0.3">
      <c r="A1026" t="s">
        <v>85</v>
      </c>
      <c r="B1026">
        <v>2015</v>
      </c>
      <c r="C1026">
        <v>27392</v>
      </c>
      <c r="D1026">
        <v>5476</v>
      </c>
      <c r="E1026">
        <v>207</v>
      </c>
      <c r="F1026">
        <v>25431</v>
      </c>
    </row>
    <row r="1027" spans="1:6" x14ac:dyDescent="0.3">
      <c r="A1027" t="s">
        <v>85</v>
      </c>
      <c r="B1027">
        <v>2016</v>
      </c>
      <c r="C1027">
        <v>28487</v>
      </c>
      <c r="D1027">
        <v>5658</v>
      </c>
      <c r="E1027">
        <v>241</v>
      </c>
      <c r="F1027">
        <v>32742</v>
      </c>
    </row>
    <row r="1028" spans="1:6" x14ac:dyDescent="0.3">
      <c r="A1028" t="s">
        <v>85</v>
      </c>
      <c r="B1028">
        <v>2017</v>
      </c>
      <c r="C1028">
        <v>31578</v>
      </c>
      <c r="D1028">
        <v>7846</v>
      </c>
      <c r="E1028">
        <v>240</v>
      </c>
      <c r="F1028">
        <v>36400</v>
      </c>
    </row>
    <row r="1029" spans="1:6" x14ac:dyDescent="0.3">
      <c r="A1029" t="s">
        <v>85</v>
      </c>
      <c r="B1029">
        <v>2018</v>
      </c>
      <c r="C1029">
        <v>26489</v>
      </c>
      <c r="D1029">
        <v>2542</v>
      </c>
      <c r="E1029">
        <v>240</v>
      </c>
      <c r="F1029">
        <v>38074</v>
      </c>
    </row>
    <row r="1030" spans="1:6" x14ac:dyDescent="0.3">
      <c r="A1030" t="s">
        <v>85</v>
      </c>
      <c r="B1030">
        <v>2019</v>
      </c>
      <c r="C1030">
        <v>29066</v>
      </c>
      <c r="D1030">
        <v>3208</v>
      </c>
      <c r="E1030">
        <v>240</v>
      </c>
      <c r="F1030">
        <v>41169</v>
      </c>
    </row>
    <row r="1031" spans="1:6" x14ac:dyDescent="0.3">
      <c r="A1031" t="s">
        <v>85</v>
      </c>
      <c r="B1031">
        <v>2020</v>
      </c>
      <c r="C1031">
        <v>32838</v>
      </c>
      <c r="D1031">
        <v>4172</v>
      </c>
      <c r="E1031">
        <v>240</v>
      </c>
      <c r="F1031">
        <v>45025</v>
      </c>
    </row>
    <row r="1032" spans="1:6" x14ac:dyDescent="0.3">
      <c r="A1032" t="s">
        <v>85</v>
      </c>
      <c r="B1032">
        <v>2021</v>
      </c>
      <c r="C1032">
        <v>33498</v>
      </c>
      <c r="D1032">
        <v>2272</v>
      </c>
      <c r="E1032">
        <v>240</v>
      </c>
      <c r="F1032">
        <v>46223</v>
      </c>
    </row>
    <row r="1033" spans="1:6" x14ac:dyDescent="0.3">
      <c r="A1033" t="s">
        <v>85</v>
      </c>
      <c r="B1033">
        <v>2022</v>
      </c>
      <c r="C1033">
        <v>38654</v>
      </c>
      <c r="D1033">
        <v>3389</v>
      </c>
      <c r="E1033">
        <v>240</v>
      </c>
      <c r="F1033">
        <v>47771</v>
      </c>
    </row>
    <row r="1034" spans="1:6" x14ac:dyDescent="0.3">
      <c r="A1034" t="s">
        <v>85</v>
      </c>
      <c r="B1034">
        <v>2023</v>
      </c>
      <c r="C1034">
        <v>43886</v>
      </c>
      <c r="D1034">
        <v>8513</v>
      </c>
      <c r="E1034">
        <v>240</v>
      </c>
      <c r="F1034">
        <v>55755</v>
      </c>
    </row>
    <row r="1035" spans="1:6" x14ac:dyDescent="0.3">
      <c r="A1035" t="s">
        <v>85</v>
      </c>
      <c r="B1035">
        <v>2024</v>
      </c>
      <c r="C1035">
        <v>48497</v>
      </c>
      <c r="D1035">
        <v>9610</v>
      </c>
      <c r="E1035">
        <v>240</v>
      </c>
      <c r="F1035">
        <v>63427</v>
      </c>
    </row>
    <row r="1036" spans="1:6" x14ac:dyDescent="0.3">
      <c r="A1036" t="s">
        <v>86</v>
      </c>
      <c r="C1036">
        <v>16297</v>
      </c>
      <c r="D1036">
        <v>1170</v>
      </c>
    </row>
    <row r="1037" spans="1:6" x14ac:dyDescent="0.3">
      <c r="A1037" t="s">
        <v>86</v>
      </c>
      <c r="B1037">
        <v>2013</v>
      </c>
      <c r="C1037">
        <v>7351</v>
      </c>
      <c r="D1037">
        <v>445</v>
      </c>
      <c r="E1037">
        <v>62</v>
      </c>
      <c r="F1037">
        <v>4748</v>
      </c>
    </row>
    <row r="1038" spans="1:6" x14ac:dyDescent="0.3">
      <c r="A1038" t="s">
        <v>86</v>
      </c>
      <c r="B1038">
        <v>2014</v>
      </c>
      <c r="C1038">
        <v>7738</v>
      </c>
      <c r="D1038">
        <v>510</v>
      </c>
      <c r="E1038">
        <v>62</v>
      </c>
      <c r="F1038">
        <v>5787</v>
      </c>
    </row>
    <row r="1039" spans="1:6" x14ac:dyDescent="0.3">
      <c r="A1039" t="s">
        <v>86</v>
      </c>
      <c r="B1039">
        <v>2015</v>
      </c>
      <c r="C1039">
        <v>7993</v>
      </c>
      <c r="D1039">
        <v>273</v>
      </c>
      <c r="E1039">
        <v>62</v>
      </c>
      <c r="F1039">
        <v>5431</v>
      </c>
    </row>
    <row r="1040" spans="1:6" x14ac:dyDescent="0.3">
      <c r="A1040" t="s">
        <v>86</v>
      </c>
      <c r="B1040">
        <v>2016</v>
      </c>
      <c r="C1040">
        <v>6637</v>
      </c>
      <c r="D1040">
        <v>-37</v>
      </c>
      <c r="E1040">
        <v>63</v>
      </c>
      <c r="F1040">
        <v>6184</v>
      </c>
    </row>
    <row r="1041" spans="1:6" x14ac:dyDescent="0.3">
      <c r="A1041" t="s">
        <v>86</v>
      </c>
      <c r="B1041">
        <v>2017</v>
      </c>
      <c r="C1041">
        <v>6780</v>
      </c>
      <c r="D1041">
        <v>455</v>
      </c>
      <c r="E1041">
        <v>63</v>
      </c>
      <c r="F1041">
        <v>6202</v>
      </c>
    </row>
    <row r="1042" spans="1:6" x14ac:dyDescent="0.3">
      <c r="A1042" t="s">
        <v>86</v>
      </c>
      <c r="B1042">
        <v>2018</v>
      </c>
      <c r="C1042">
        <v>6815</v>
      </c>
      <c r="D1042">
        <v>556</v>
      </c>
      <c r="E1042">
        <v>63</v>
      </c>
      <c r="F1042">
        <v>6968</v>
      </c>
    </row>
    <row r="1043" spans="1:6" x14ac:dyDescent="0.3">
      <c r="A1043" t="s">
        <v>86</v>
      </c>
      <c r="B1043">
        <v>2019</v>
      </c>
      <c r="C1043">
        <v>7252</v>
      </c>
      <c r="D1043">
        <v>457</v>
      </c>
      <c r="E1043">
        <v>63</v>
      </c>
      <c r="F1043">
        <v>7269</v>
      </c>
    </row>
    <row r="1044" spans="1:6" x14ac:dyDescent="0.3">
      <c r="A1044" t="s">
        <v>86</v>
      </c>
      <c r="B1044">
        <v>2020</v>
      </c>
      <c r="C1044">
        <v>9637</v>
      </c>
      <c r="D1044">
        <v>460</v>
      </c>
      <c r="E1044">
        <v>92</v>
      </c>
      <c r="F1044">
        <v>13723</v>
      </c>
    </row>
    <row r="1045" spans="1:6" x14ac:dyDescent="0.3">
      <c r="A1045" t="s">
        <v>86</v>
      </c>
      <c r="B1045">
        <v>2021</v>
      </c>
      <c r="C1045">
        <v>11602</v>
      </c>
      <c r="D1045">
        <v>930</v>
      </c>
      <c r="E1045">
        <v>92</v>
      </c>
      <c r="F1045">
        <v>14442</v>
      </c>
    </row>
    <row r="1046" spans="1:6" x14ac:dyDescent="0.3">
      <c r="A1046" t="s">
        <v>86</v>
      </c>
      <c r="B1046">
        <v>2022</v>
      </c>
      <c r="C1046">
        <v>12425</v>
      </c>
      <c r="D1046">
        <v>1015</v>
      </c>
      <c r="E1046">
        <v>92</v>
      </c>
      <c r="F1046">
        <v>15050</v>
      </c>
    </row>
    <row r="1047" spans="1:6" x14ac:dyDescent="0.3">
      <c r="A1047" t="s">
        <v>86</v>
      </c>
      <c r="B1047">
        <v>2023</v>
      </c>
      <c r="C1047">
        <v>13783</v>
      </c>
      <c r="D1047">
        <v>1320</v>
      </c>
      <c r="E1047">
        <v>93</v>
      </c>
      <c r="F1047">
        <v>16184</v>
      </c>
    </row>
    <row r="1048" spans="1:6" x14ac:dyDescent="0.3">
      <c r="A1048" t="s">
        <v>86</v>
      </c>
      <c r="B1048">
        <v>2024</v>
      </c>
      <c r="C1048">
        <v>15206</v>
      </c>
      <c r="D1048">
        <v>1215</v>
      </c>
      <c r="E1048">
        <v>95</v>
      </c>
      <c r="F1048">
        <v>15962</v>
      </c>
    </row>
    <row r="1049" spans="1:6" x14ac:dyDescent="0.3">
      <c r="A1049" t="s">
        <v>87</v>
      </c>
      <c r="C1049">
        <v>440061</v>
      </c>
      <c r="D1049">
        <v>33816</v>
      </c>
    </row>
    <row r="1050" spans="1:6" x14ac:dyDescent="0.3">
      <c r="A1050" t="s">
        <v>87</v>
      </c>
      <c r="B1050">
        <v>2013</v>
      </c>
      <c r="C1050">
        <v>188793</v>
      </c>
      <c r="D1050">
        <v>9976</v>
      </c>
      <c r="E1050">
        <v>638</v>
      </c>
      <c r="F1050">
        <v>36999</v>
      </c>
    </row>
    <row r="1051" spans="1:6" x14ac:dyDescent="0.3">
      <c r="A1051" t="s">
        <v>87</v>
      </c>
      <c r="B1051">
        <v>2014</v>
      </c>
      <c r="C1051">
        <v>232834</v>
      </c>
      <c r="D1051">
        <v>14050</v>
      </c>
      <c r="E1051">
        <v>644</v>
      </c>
      <c r="F1051">
        <v>64960</v>
      </c>
    </row>
    <row r="1052" spans="1:6" x14ac:dyDescent="0.3">
      <c r="A1052" t="s">
        <v>87</v>
      </c>
      <c r="B1052">
        <v>2015</v>
      </c>
      <c r="C1052">
        <v>263159</v>
      </c>
      <c r="D1052">
        <v>14073</v>
      </c>
      <c r="E1052">
        <v>644</v>
      </c>
      <c r="F1052">
        <v>55618</v>
      </c>
    </row>
    <row r="1053" spans="1:6" x14ac:dyDescent="0.3">
      <c r="A1053" t="s">
        <v>87</v>
      </c>
      <c r="B1053">
        <v>2016</v>
      </c>
      <c r="C1053">
        <v>273046</v>
      </c>
      <c r="D1053">
        <v>11678</v>
      </c>
      <c r="E1053">
        <v>679</v>
      </c>
      <c r="F1053">
        <v>78273</v>
      </c>
    </row>
    <row r="1054" spans="1:6" x14ac:dyDescent="0.3">
      <c r="A1054" t="s">
        <v>87</v>
      </c>
      <c r="B1054">
        <v>2017</v>
      </c>
      <c r="C1054">
        <v>269693</v>
      </c>
      <c r="D1054">
        <v>7557</v>
      </c>
      <c r="E1054">
        <v>679</v>
      </c>
      <c r="F1054">
        <v>57383</v>
      </c>
    </row>
    <row r="1055" spans="1:6" x14ac:dyDescent="0.3">
      <c r="A1055" t="s">
        <v>87</v>
      </c>
      <c r="B1055">
        <v>2018</v>
      </c>
      <c r="C1055">
        <v>291550</v>
      </c>
      <c r="D1055">
        <v>9091</v>
      </c>
      <c r="E1055">
        <v>679</v>
      </c>
      <c r="F1055">
        <v>94749</v>
      </c>
    </row>
    <row r="1056" spans="1:6" x14ac:dyDescent="0.3">
      <c r="A1056" t="s">
        <v>87</v>
      </c>
      <c r="B1056">
        <v>2019</v>
      </c>
      <c r="C1056">
        <v>301938</v>
      </c>
      <c r="D1056">
        <v>-28724</v>
      </c>
      <c r="E1056">
        <v>679</v>
      </c>
      <c r="F1056">
        <v>59500</v>
      </c>
    </row>
    <row r="1057" spans="1:6" x14ac:dyDescent="0.3">
      <c r="A1057" t="s">
        <v>87</v>
      </c>
      <c r="B1057">
        <v>2020</v>
      </c>
      <c r="C1057">
        <v>261068</v>
      </c>
      <c r="D1057">
        <v>-11975</v>
      </c>
      <c r="E1057">
        <v>720</v>
      </c>
      <c r="F1057">
        <v>62359</v>
      </c>
    </row>
    <row r="1058" spans="1:6" x14ac:dyDescent="0.3">
      <c r="A1058" t="s">
        <v>87</v>
      </c>
      <c r="B1058">
        <v>2021</v>
      </c>
      <c r="C1058">
        <v>249795</v>
      </c>
      <c r="D1058">
        <v>-13395</v>
      </c>
      <c r="E1058">
        <v>766</v>
      </c>
      <c r="F1058">
        <v>54481</v>
      </c>
    </row>
    <row r="1059" spans="1:6" x14ac:dyDescent="0.3">
      <c r="A1059" t="s">
        <v>87</v>
      </c>
      <c r="B1059">
        <v>2022</v>
      </c>
      <c r="C1059">
        <v>278454</v>
      </c>
      <c r="D1059">
        <v>-11309</v>
      </c>
      <c r="E1059">
        <v>766</v>
      </c>
      <c r="F1059">
        <v>43795</v>
      </c>
    </row>
    <row r="1060" spans="1:6" x14ac:dyDescent="0.3">
      <c r="A1060" t="s">
        <v>87</v>
      </c>
      <c r="B1060">
        <v>2023</v>
      </c>
      <c r="C1060">
        <v>345967</v>
      </c>
      <c r="D1060">
        <v>2690</v>
      </c>
      <c r="E1060">
        <v>766</v>
      </c>
      <c r="F1060">
        <v>44556</v>
      </c>
    </row>
    <row r="1061" spans="1:6" x14ac:dyDescent="0.3">
      <c r="A1061" t="s">
        <v>87</v>
      </c>
      <c r="B1061">
        <v>2024</v>
      </c>
      <c r="C1061">
        <v>437928</v>
      </c>
      <c r="D1061">
        <v>31807</v>
      </c>
      <c r="E1061">
        <v>736</v>
      </c>
      <c r="F1061">
        <v>100326</v>
      </c>
    </row>
    <row r="1062" spans="1:6" x14ac:dyDescent="0.3">
      <c r="A1062" t="s">
        <v>88</v>
      </c>
      <c r="C1062">
        <v>63489</v>
      </c>
      <c r="D1062">
        <v>4403</v>
      </c>
    </row>
    <row r="1063" spans="1:6" x14ac:dyDescent="0.3">
      <c r="A1063" t="s">
        <v>88</v>
      </c>
      <c r="B1063">
        <v>2013</v>
      </c>
      <c r="C1063">
        <v>33177</v>
      </c>
      <c r="D1063">
        <v>123</v>
      </c>
      <c r="E1063">
        <v>237</v>
      </c>
      <c r="F1063">
        <v>12098</v>
      </c>
    </row>
    <row r="1064" spans="1:6" x14ac:dyDescent="0.3">
      <c r="A1064" t="s">
        <v>88</v>
      </c>
      <c r="B1064">
        <v>2014</v>
      </c>
      <c r="C1064">
        <v>35726</v>
      </c>
      <c r="D1064">
        <v>12</v>
      </c>
      <c r="E1064">
        <v>237</v>
      </c>
      <c r="F1064">
        <v>12164</v>
      </c>
    </row>
    <row r="1065" spans="1:6" x14ac:dyDescent="0.3">
      <c r="A1065" t="s">
        <v>88</v>
      </c>
      <c r="B1065">
        <v>2015</v>
      </c>
      <c r="C1065">
        <v>33593</v>
      </c>
      <c r="D1065">
        <v>457</v>
      </c>
      <c r="E1065">
        <v>270</v>
      </c>
      <c r="F1065">
        <v>14048</v>
      </c>
    </row>
    <row r="1066" spans="1:6" x14ac:dyDescent="0.3">
      <c r="A1066" t="s">
        <v>88</v>
      </c>
      <c r="B1066">
        <v>2016</v>
      </c>
      <c r="C1066">
        <v>29494</v>
      </c>
      <c r="D1066">
        <v>786</v>
      </c>
      <c r="E1066">
        <v>270</v>
      </c>
      <c r="F1066">
        <v>11363</v>
      </c>
    </row>
    <row r="1067" spans="1:6" x14ac:dyDescent="0.3">
      <c r="A1067" t="s">
        <v>88</v>
      </c>
      <c r="B1067">
        <v>2017</v>
      </c>
      <c r="C1067">
        <v>27588</v>
      </c>
      <c r="D1067">
        <v>1100</v>
      </c>
      <c r="E1067">
        <v>270</v>
      </c>
      <c r="F1067">
        <v>12944</v>
      </c>
    </row>
    <row r="1068" spans="1:6" x14ac:dyDescent="0.3">
      <c r="A1068" t="s">
        <v>88</v>
      </c>
      <c r="B1068">
        <v>2018</v>
      </c>
      <c r="C1068">
        <v>26840</v>
      </c>
      <c r="D1068">
        <v>2611</v>
      </c>
      <c r="E1068">
        <v>270</v>
      </c>
      <c r="F1068">
        <v>16129</v>
      </c>
    </row>
    <row r="1069" spans="1:6" x14ac:dyDescent="0.3">
      <c r="A1069" t="s">
        <v>88</v>
      </c>
      <c r="B1069">
        <v>2019</v>
      </c>
      <c r="C1069">
        <v>29881</v>
      </c>
      <c r="D1069">
        <v>2606</v>
      </c>
      <c r="E1069">
        <v>270</v>
      </c>
      <c r="F1069">
        <v>18035</v>
      </c>
    </row>
    <row r="1070" spans="1:6" x14ac:dyDescent="0.3">
      <c r="A1070" t="s">
        <v>88</v>
      </c>
      <c r="B1070">
        <v>2020</v>
      </c>
      <c r="C1070">
        <v>29136</v>
      </c>
      <c r="D1070">
        <v>1316</v>
      </c>
      <c r="E1070">
        <v>270</v>
      </c>
      <c r="F1070">
        <v>19296</v>
      </c>
    </row>
    <row r="1071" spans="1:6" x14ac:dyDescent="0.3">
      <c r="A1071" t="s">
        <v>88</v>
      </c>
      <c r="B1071">
        <v>2021</v>
      </c>
      <c r="C1071">
        <v>32703</v>
      </c>
      <c r="D1071">
        <v>1439</v>
      </c>
      <c r="E1071">
        <v>320</v>
      </c>
      <c r="F1071">
        <v>22003</v>
      </c>
    </row>
    <row r="1072" spans="1:6" x14ac:dyDescent="0.3">
      <c r="A1072" t="s">
        <v>88</v>
      </c>
      <c r="B1072">
        <v>2022</v>
      </c>
      <c r="C1072">
        <v>42816</v>
      </c>
      <c r="D1072">
        <v>2156</v>
      </c>
      <c r="E1072">
        <v>320</v>
      </c>
      <c r="F1072">
        <v>22122</v>
      </c>
    </row>
    <row r="1073" spans="1:6" x14ac:dyDescent="0.3">
      <c r="A1073" t="s">
        <v>88</v>
      </c>
      <c r="B1073">
        <v>2023</v>
      </c>
      <c r="C1073">
        <v>55109</v>
      </c>
      <c r="D1073">
        <v>3810</v>
      </c>
      <c r="E1073">
        <v>320</v>
      </c>
      <c r="F1073">
        <v>28468</v>
      </c>
    </row>
    <row r="1074" spans="1:6" x14ac:dyDescent="0.3">
      <c r="A1074" t="s">
        <v>88</v>
      </c>
      <c r="B1074">
        <v>2024</v>
      </c>
      <c r="C1074">
        <v>61449</v>
      </c>
      <c r="D1074">
        <v>4280</v>
      </c>
      <c r="E1074">
        <v>320</v>
      </c>
      <c r="F1074">
        <v>32036</v>
      </c>
    </row>
    <row r="1075" spans="1:6" x14ac:dyDescent="0.3">
      <c r="A1075" t="s">
        <v>89</v>
      </c>
      <c r="C1075">
        <v>221012</v>
      </c>
      <c r="D1075">
        <v>2527</v>
      </c>
    </row>
    <row r="1076" spans="1:6" x14ac:dyDescent="0.3">
      <c r="A1076" t="s">
        <v>89</v>
      </c>
      <c r="B1076">
        <v>2013</v>
      </c>
      <c r="C1076">
        <v>134712</v>
      </c>
      <c r="D1076">
        <v>-7272</v>
      </c>
      <c r="E1076">
        <v>971</v>
      </c>
      <c r="F1076">
        <v>33201</v>
      </c>
    </row>
    <row r="1077" spans="1:6" x14ac:dyDescent="0.3">
      <c r="A1077" t="s">
        <v>89</v>
      </c>
      <c r="B1077">
        <v>2014</v>
      </c>
      <c r="C1077">
        <v>148614</v>
      </c>
      <c r="D1077">
        <v>3665</v>
      </c>
      <c r="E1077">
        <v>971</v>
      </c>
      <c r="F1077">
        <v>39561</v>
      </c>
    </row>
    <row r="1078" spans="1:6" x14ac:dyDescent="0.3">
      <c r="A1078" t="s">
        <v>89</v>
      </c>
      <c r="B1078">
        <v>2015</v>
      </c>
      <c r="C1078">
        <v>139504</v>
      </c>
      <c r="D1078">
        <v>-3939</v>
      </c>
      <c r="E1078">
        <v>971</v>
      </c>
      <c r="F1078">
        <v>30378</v>
      </c>
    </row>
    <row r="1079" spans="1:6" x14ac:dyDescent="0.3">
      <c r="A1079" t="s">
        <v>89</v>
      </c>
      <c r="B1079">
        <v>2016</v>
      </c>
      <c r="C1079">
        <v>101965</v>
      </c>
      <c r="D1079">
        <v>-497</v>
      </c>
      <c r="E1079">
        <v>970</v>
      </c>
      <c r="F1079">
        <v>42762</v>
      </c>
    </row>
    <row r="1080" spans="1:6" x14ac:dyDescent="0.3">
      <c r="A1080" t="s">
        <v>89</v>
      </c>
      <c r="B1080">
        <v>2017</v>
      </c>
      <c r="C1080">
        <v>112299</v>
      </c>
      <c r="D1080">
        <v>-4169</v>
      </c>
      <c r="E1080">
        <v>970</v>
      </c>
      <c r="F1080">
        <v>36849</v>
      </c>
    </row>
    <row r="1081" spans="1:6" x14ac:dyDescent="0.3">
      <c r="A1081" t="s">
        <v>89</v>
      </c>
      <c r="B1081">
        <v>2018</v>
      </c>
      <c r="C1081">
        <v>123249</v>
      </c>
      <c r="D1081">
        <v>17743</v>
      </c>
      <c r="E1081">
        <v>1145</v>
      </c>
      <c r="F1081">
        <v>59726</v>
      </c>
    </row>
    <row r="1082" spans="1:6" x14ac:dyDescent="0.3">
      <c r="A1082" t="s">
        <v>89</v>
      </c>
      <c r="B1082">
        <v>2019</v>
      </c>
      <c r="C1082">
        <v>157669</v>
      </c>
      <c r="D1082">
        <v>9122</v>
      </c>
      <c r="E1082">
        <v>1145</v>
      </c>
      <c r="F1082">
        <v>67780</v>
      </c>
    </row>
    <row r="1083" spans="1:6" x14ac:dyDescent="0.3">
      <c r="A1083" t="s">
        <v>89</v>
      </c>
      <c r="B1083">
        <v>2020</v>
      </c>
      <c r="C1083">
        <v>139817</v>
      </c>
      <c r="D1083">
        <v>1174</v>
      </c>
      <c r="E1083">
        <v>1145</v>
      </c>
      <c r="F1083">
        <v>72431</v>
      </c>
    </row>
    <row r="1084" spans="1:6" x14ac:dyDescent="0.3">
      <c r="A1084" t="s">
        <v>89</v>
      </c>
      <c r="B1084">
        <v>2021</v>
      </c>
      <c r="C1084">
        <v>156294</v>
      </c>
      <c r="D1084">
        <v>8190</v>
      </c>
      <c r="E1084">
        <v>1198</v>
      </c>
      <c r="F1084">
        <v>73041</v>
      </c>
    </row>
    <row r="1085" spans="1:6" x14ac:dyDescent="0.3">
      <c r="A1085" t="s">
        <v>89</v>
      </c>
      <c r="B1085">
        <v>2022</v>
      </c>
      <c r="C1085">
        <v>243959</v>
      </c>
      <c r="D1085">
        <v>41749</v>
      </c>
      <c r="E1085">
        <v>1221</v>
      </c>
      <c r="F1085">
        <v>113222</v>
      </c>
    </row>
    <row r="1086" spans="1:6" x14ac:dyDescent="0.3">
      <c r="A1086" t="s">
        <v>89</v>
      </c>
      <c r="B1086">
        <v>2023</v>
      </c>
      <c r="C1086">
        <v>243353</v>
      </c>
      <c r="D1086">
        <v>8075</v>
      </c>
      <c r="E1086">
        <v>1221</v>
      </c>
      <c r="F1086">
        <v>101861</v>
      </c>
    </row>
    <row r="1087" spans="1:6" x14ac:dyDescent="0.3">
      <c r="A1087" t="s">
        <v>89</v>
      </c>
      <c r="B1087">
        <v>2024</v>
      </c>
      <c r="C1087">
        <v>229171</v>
      </c>
      <c r="D1087">
        <v>-4910</v>
      </c>
      <c r="E1087">
        <v>1247</v>
      </c>
      <c r="F1087">
        <v>88900</v>
      </c>
    </row>
    <row r="1088" spans="1:6" x14ac:dyDescent="0.3">
      <c r="A1088" t="s">
        <v>90</v>
      </c>
      <c r="C1088">
        <v>252082</v>
      </c>
      <c r="D1088">
        <v>49006</v>
      </c>
    </row>
    <row r="1089" spans="1:6" x14ac:dyDescent="0.3">
      <c r="A1089" t="s">
        <v>90</v>
      </c>
      <c r="B1089">
        <v>2013</v>
      </c>
      <c r="C1089">
        <v>62989</v>
      </c>
      <c r="D1089">
        <v>14076</v>
      </c>
      <c r="E1089">
        <v>196</v>
      </c>
      <c r="F1089">
        <v>38350</v>
      </c>
    </row>
    <row r="1090" spans="1:6" x14ac:dyDescent="0.3">
      <c r="A1090" t="s">
        <v>90</v>
      </c>
      <c r="B1090">
        <v>2014</v>
      </c>
      <c r="C1090">
        <v>81809</v>
      </c>
      <c r="D1090">
        <v>19332</v>
      </c>
      <c r="E1090">
        <v>196</v>
      </c>
      <c r="F1090">
        <v>48999</v>
      </c>
    </row>
    <row r="1091" spans="1:6" x14ac:dyDescent="0.3">
      <c r="A1091" t="s">
        <v>90</v>
      </c>
      <c r="B1091">
        <v>2015</v>
      </c>
      <c r="C1091">
        <v>94648</v>
      </c>
      <c r="D1091">
        <v>20060</v>
      </c>
      <c r="E1091">
        <v>196</v>
      </c>
      <c r="F1091">
        <v>50439</v>
      </c>
    </row>
    <row r="1092" spans="1:6" x14ac:dyDescent="0.3">
      <c r="A1092" t="s">
        <v>90</v>
      </c>
      <c r="B1092">
        <v>2016</v>
      </c>
      <c r="C1092">
        <v>108646</v>
      </c>
      <c r="D1092">
        <v>24338</v>
      </c>
      <c r="E1092">
        <v>197</v>
      </c>
      <c r="F1092">
        <v>70875</v>
      </c>
    </row>
    <row r="1093" spans="1:6" x14ac:dyDescent="0.3">
      <c r="A1093" t="s">
        <v>90</v>
      </c>
      <c r="B1093">
        <v>2017</v>
      </c>
      <c r="C1093">
        <v>117966</v>
      </c>
      <c r="D1093">
        <v>26357</v>
      </c>
      <c r="E1093">
        <v>197</v>
      </c>
      <c r="F1093">
        <v>86017</v>
      </c>
    </row>
    <row r="1094" spans="1:6" x14ac:dyDescent="0.3">
      <c r="A1094" t="s">
        <v>90</v>
      </c>
      <c r="B1094">
        <v>2018</v>
      </c>
      <c r="C1094">
        <v>123104</v>
      </c>
      <c r="D1094">
        <v>25880</v>
      </c>
      <c r="E1094">
        <v>191</v>
      </c>
      <c r="F1094">
        <v>84937</v>
      </c>
    </row>
    <row r="1095" spans="1:6" x14ac:dyDescent="0.3">
      <c r="A1095" t="s">
        <v>90</v>
      </c>
      <c r="B1095">
        <v>2019</v>
      </c>
      <c r="C1095">
        <v>146463</v>
      </c>
      <c r="D1095">
        <v>31562</v>
      </c>
      <c r="E1095">
        <v>375</v>
      </c>
      <c r="F1095">
        <v>89071</v>
      </c>
    </row>
    <row r="1096" spans="1:6" x14ac:dyDescent="0.3">
      <c r="A1096" t="s">
        <v>90</v>
      </c>
      <c r="B1096">
        <v>2020</v>
      </c>
      <c r="C1096">
        <v>156949</v>
      </c>
      <c r="D1096">
        <v>32447</v>
      </c>
      <c r="E1096">
        <v>375</v>
      </c>
      <c r="F1096">
        <v>83751</v>
      </c>
    </row>
    <row r="1097" spans="1:6" x14ac:dyDescent="0.3">
      <c r="A1097" t="s">
        <v>90</v>
      </c>
      <c r="B1097">
        <v>2021</v>
      </c>
      <c r="C1097">
        <v>164177</v>
      </c>
      <c r="D1097">
        <v>32562</v>
      </c>
      <c r="E1097">
        <v>370</v>
      </c>
      <c r="F1097">
        <v>86063</v>
      </c>
    </row>
    <row r="1098" spans="1:6" x14ac:dyDescent="0.3">
      <c r="A1098" t="s">
        <v>90</v>
      </c>
      <c r="B1098">
        <v>2022</v>
      </c>
      <c r="C1098">
        <v>191754</v>
      </c>
      <c r="D1098">
        <v>38449</v>
      </c>
      <c r="E1098">
        <v>366</v>
      </c>
      <c r="F1098">
        <v>88773</v>
      </c>
    </row>
    <row r="1099" spans="1:6" x14ac:dyDescent="0.3">
      <c r="A1099" t="s">
        <v>90</v>
      </c>
      <c r="B1099">
        <v>2023</v>
      </c>
      <c r="C1099">
        <v>225458</v>
      </c>
      <c r="D1099">
        <v>42303</v>
      </c>
      <c r="E1099">
        <v>366</v>
      </c>
      <c r="F1099">
        <v>90058</v>
      </c>
    </row>
    <row r="1100" spans="1:6" x14ac:dyDescent="0.3">
      <c r="A1100" t="s">
        <v>90</v>
      </c>
      <c r="B1100">
        <v>2024</v>
      </c>
      <c r="C1100">
        <v>240893</v>
      </c>
      <c r="D1100">
        <v>46099</v>
      </c>
      <c r="E1100">
        <v>362</v>
      </c>
      <c r="F1100">
        <v>90127</v>
      </c>
    </row>
    <row r="1101" spans="1:6" x14ac:dyDescent="0.3">
      <c r="A1101" t="s">
        <v>91</v>
      </c>
      <c r="C1101">
        <v>52476</v>
      </c>
      <c r="D1101">
        <v>3775</v>
      </c>
    </row>
    <row r="1102" spans="1:6" x14ac:dyDescent="0.3">
      <c r="A1102" t="s">
        <v>91</v>
      </c>
      <c r="B1102">
        <v>2013</v>
      </c>
      <c r="C1102">
        <v>6873</v>
      </c>
      <c r="D1102">
        <v>1307</v>
      </c>
      <c r="E1102">
        <v>128</v>
      </c>
      <c r="F1102">
        <v>5298</v>
      </c>
    </row>
    <row r="1103" spans="1:6" x14ac:dyDescent="0.3">
      <c r="A1103" t="s">
        <v>91</v>
      </c>
      <c r="B1103">
        <v>2014</v>
      </c>
      <c r="C1103">
        <v>18802</v>
      </c>
      <c r="D1103">
        <v>3062</v>
      </c>
      <c r="E1103">
        <v>234</v>
      </c>
      <c r="F1103">
        <v>8948</v>
      </c>
    </row>
    <row r="1104" spans="1:6" x14ac:dyDescent="0.3">
      <c r="A1104" t="s">
        <v>91</v>
      </c>
      <c r="B1104">
        <v>2015</v>
      </c>
      <c r="C1104">
        <v>22621</v>
      </c>
      <c r="D1104">
        <v>2659</v>
      </c>
      <c r="E1104">
        <v>480</v>
      </c>
      <c r="F1104">
        <v>11768</v>
      </c>
    </row>
    <row r="1105" spans="1:6" x14ac:dyDescent="0.3">
      <c r="A1105" t="s">
        <v>91</v>
      </c>
      <c r="B1105">
        <v>2016</v>
      </c>
      <c r="C1105">
        <v>26494</v>
      </c>
      <c r="D1105">
        <v>3027</v>
      </c>
      <c r="E1105">
        <v>436</v>
      </c>
      <c r="F1105">
        <v>14155</v>
      </c>
    </row>
    <row r="1106" spans="1:6" x14ac:dyDescent="0.3">
      <c r="A1106" t="s">
        <v>91</v>
      </c>
      <c r="B1106">
        <v>2017</v>
      </c>
      <c r="C1106">
        <v>29141</v>
      </c>
      <c r="D1106">
        <v>2851</v>
      </c>
      <c r="E1106">
        <v>439</v>
      </c>
      <c r="F1106">
        <v>15998</v>
      </c>
    </row>
    <row r="1107" spans="1:6" x14ac:dyDescent="0.3">
      <c r="A1107" t="s">
        <v>91</v>
      </c>
      <c r="B1107">
        <v>2018</v>
      </c>
      <c r="C1107">
        <v>30773</v>
      </c>
      <c r="D1107">
        <v>3786</v>
      </c>
      <c r="E1107">
        <v>442</v>
      </c>
      <c r="F1107">
        <v>18401</v>
      </c>
    </row>
    <row r="1108" spans="1:6" x14ac:dyDescent="0.3">
      <c r="A1108" t="s">
        <v>91</v>
      </c>
      <c r="B1108">
        <v>2019</v>
      </c>
      <c r="C1108">
        <v>34742</v>
      </c>
      <c r="D1108">
        <v>4289</v>
      </c>
      <c r="E1108">
        <v>444</v>
      </c>
      <c r="F1108">
        <v>19841</v>
      </c>
    </row>
    <row r="1109" spans="1:6" x14ac:dyDescent="0.3">
      <c r="A1109" t="s">
        <v>91</v>
      </c>
      <c r="B1109">
        <v>2020</v>
      </c>
      <c r="C1109">
        <v>36868</v>
      </c>
      <c r="D1109">
        <v>3897</v>
      </c>
      <c r="E1109">
        <v>436</v>
      </c>
      <c r="F1109">
        <v>21377</v>
      </c>
    </row>
    <row r="1110" spans="1:6" x14ac:dyDescent="0.3">
      <c r="A1110" t="s">
        <v>91</v>
      </c>
      <c r="B1110">
        <v>2021</v>
      </c>
      <c r="C1110">
        <v>37855</v>
      </c>
      <c r="D1110">
        <v>4353</v>
      </c>
      <c r="E1110">
        <v>437</v>
      </c>
      <c r="F1110">
        <v>24428</v>
      </c>
    </row>
    <row r="1111" spans="1:6" x14ac:dyDescent="0.3">
      <c r="A1111" t="s">
        <v>91</v>
      </c>
      <c r="B1111">
        <v>2022</v>
      </c>
      <c r="C1111">
        <v>44646</v>
      </c>
      <c r="D1111">
        <v>5630</v>
      </c>
      <c r="E1111">
        <v>439</v>
      </c>
      <c r="F1111">
        <v>26447</v>
      </c>
    </row>
    <row r="1112" spans="1:6" x14ac:dyDescent="0.3">
      <c r="A1112" t="s">
        <v>91</v>
      </c>
      <c r="B1112">
        <v>2023</v>
      </c>
      <c r="C1112">
        <v>53290</v>
      </c>
      <c r="D1112">
        <v>4857</v>
      </c>
      <c r="E1112">
        <v>440</v>
      </c>
      <c r="F1112">
        <v>27484</v>
      </c>
    </row>
    <row r="1113" spans="1:6" x14ac:dyDescent="0.3">
      <c r="A1113" t="s">
        <v>91</v>
      </c>
      <c r="B1113">
        <v>2024</v>
      </c>
      <c r="C1113">
        <v>51996</v>
      </c>
      <c r="D1113">
        <v>2397</v>
      </c>
      <c r="E1113">
        <v>441</v>
      </c>
      <c r="F1113">
        <v>26228</v>
      </c>
    </row>
    <row r="1114" spans="1:6" x14ac:dyDescent="0.3">
      <c r="A1114" t="s">
        <v>92</v>
      </c>
      <c r="C1114">
        <v>54458</v>
      </c>
      <c r="D1114">
        <v>3243</v>
      </c>
    </row>
    <row r="1115" spans="1:6" x14ac:dyDescent="0.3">
      <c r="A1115" t="s">
        <v>92</v>
      </c>
      <c r="B1115">
        <v>2013</v>
      </c>
      <c r="C1115">
        <v>10123</v>
      </c>
      <c r="D1115">
        <v>725</v>
      </c>
      <c r="E1115">
        <v>89</v>
      </c>
      <c r="F1115">
        <v>1881</v>
      </c>
    </row>
    <row r="1116" spans="1:6" x14ac:dyDescent="0.3">
      <c r="A1116" t="s">
        <v>92</v>
      </c>
      <c r="B1116">
        <v>2014</v>
      </c>
      <c r="C1116">
        <v>10927</v>
      </c>
      <c r="D1116">
        <v>735</v>
      </c>
      <c r="E1116">
        <v>89</v>
      </c>
      <c r="F1116">
        <v>2434</v>
      </c>
    </row>
    <row r="1117" spans="1:6" x14ac:dyDescent="0.3">
      <c r="A1117" t="s">
        <v>92</v>
      </c>
      <c r="B1117">
        <v>2015</v>
      </c>
      <c r="C1117">
        <v>11913</v>
      </c>
      <c r="D1117">
        <v>816</v>
      </c>
      <c r="E1117">
        <v>89</v>
      </c>
      <c r="F1117">
        <v>2995</v>
      </c>
    </row>
    <row r="1118" spans="1:6" x14ac:dyDescent="0.3">
      <c r="A1118" t="s">
        <v>92</v>
      </c>
      <c r="B1118">
        <v>2016</v>
      </c>
      <c r="C1118">
        <v>11276</v>
      </c>
      <c r="D1118">
        <v>675</v>
      </c>
      <c r="E1118">
        <v>89</v>
      </c>
      <c r="F1118">
        <v>3418</v>
      </c>
    </row>
    <row r="1119" spans="1:6" x14ac:dyDescent="0.3">
      <c r="A1119" t="s">
        <v>92</v>
      </c>
      <c r="B1119">
        <v>2017</v>
      </c>
      <c r="C1119">
        <v>13261</v>
      </c>
      <c r="D1119">
        <v>697</v>
      </c>
      <c r="E1119">
        <v>89</v>
      </c>
      <c r="F1119">
        <v>4144</v>
      </c>
    </row>
    <row r="1120" spans="1:6" x14ac:dyDescent="0.3">
      <c r="A1120" t="s">
        <v>92</v>
      </c>
      <c r="B1120">
        <v>2018</v>
      </c>
      <c r="C1120">
        <v>16120</v>
      </c>
      <c r="D1120">
        <v>1102</v>
      </c>
      <c r="E1120">
        <v>89</v>
      </c>
      <c r="F1120">
        <v>5001</v>
      </c>
    </row>
    <row r="1121" spans="1:6" x14ac:dyDescent="0.3">
      <c r="A1121" t="s">
        <v>92</v>
      </c>
      <c r="B1121">
        <v>2019</v>
      </c>
      <c r="C1121">
        <v>19779</v>
      </c>
      <c r="D1121">
        <v>1389</v>
      </c>
      <c r="E1121">
        <v>89</v>
      </c>
      <c r="F1121">
        <v>5981</v>
      </c>
    </row>
    <row r="1122" spans="1:6" x14ac:dyDescent="0.3">
      <c r="A1122" t="s">
        <v>92</v>
      </c>
      <c r="B1122">
        <v>2020</v>
      </c>
      <c r="C1122">
        <v>21052</v>
      </c>
      <c r="D1122">
        <v>1493</v>
      </c>
      <c r="E1122">
        <v>89</v>
      </c>
      <c r="F1122">
        <v>6580</v>
      </c>
    </row>
    <row r="1123" spans="1:6" x14ac:dyDescent="0.3">
      <c r="A1123" t="s">
        <v>92</v>
      </c>
      <c r="B1123">
        <v>2021</v>
      </c>
      <c r="C1123">
        <v>21644</v>
      </c>
      <c r="D1123">
        <v>974</v>
      </c>
      <c r="E1123">
        <v>89</v>
      </c>
      <c r="F1123">
        <v>7408</v>
      </c>
    </row>
    <row r="1124" spans="1:6" x14ac:dyDescent="0.3">
      <c r="A1124" t="s">
        <v>92</v>
      </c>
      <c r="B1124">
        <v>2022</v>
      </c>
      <c r="C1124">
        <v>28799</v>
      </c>
      <c r="D1124">
        <v>2198</v>
      </c>
      <c r="E1124">
        <v>89</v>
      </c>
      <c r="F1124">
        <v>9214</v>
      </c>
    </row>
    <row r="1125" spans="1:6" x14ac:dyDescent="0.3">
      <c r="A1125" t="s">
        <v>92</v>
      </c>
      <c r="B1125">
        <v>2023</v>
      </c>
      <c r="C1125">
        <v>40575</v>
      </c>
      <c r="D1125">
        <v>3274</v>
      </c>
      <c r="E1125">
        <v>89</v>
      </c>
      <c r="F1125">
        <v>11762</v>
      </c>
    </row>
    <row r="1126" spans="1:6" x14ac:dyDescent="0.3">
      <c r="A1126" t="s">
        <v>92</v>
      </c>
      <c r="B1126">
        <v>2024</v>
      </c>
      <c r="C1126">
        <v>51084</v>
      </c>
      <c r="D1126">
        <v>3496</v>
      </c>
      <c r="E1126">
        <v>89</v>
      </c>
      <c r="F1126">
        <v>9304</v>
      </c>
    </row>
    <row r="1127" spans="1:6" x14ac:dyDescent="0.3">
      <c r="A1127" t="s">
        <v>93</v>
      </c>
      <c r="C1127">
        <v>11302</v>
      </c>
      <c r="D1127">
        <v>1862</v>
      </c>
    </row>
    <row r="1128" spans="1:6" x14ac:dyDescent="0.3">
      <c r="A1128" t="s">
        <v>93</v>
      </c>
      <c r="B1128">
        <v>2013</v>
      </c>
      <c r="C1128">
        <v>3203</v>
      </c>
      <c r="D1128">
        <v>435</v>
      </c>
      <c r="E1128">
        <v>42</v>
      </c>
      <c r="F1128">
        <v>1380</v>
      </c>
    </row>
    <row r="1129" spans="1:6" x14ac:dyDescent="0.3">
      <c r="A1129" t="s">
        <v>93</v>
      </c>
      <c r="B1129">
        <v>2014</v>
      </c>
      <c r="C1129">
        <v>4172</v>
      </c>
      <c r="D1129">
        <v>664</v>
      </c>
      <c r="E1129">
        <v>85</v>
      </c>
      <c r="F1129">
        <v>1818</v>
      </c>
    </row>
    <row r="1130" spans="1:6" x14ac:dyDescent="0.3">
      <c r="A1130" t="s">
        <v>93</v>
      </c>
      <c r="B1130">
        <v>2015</v>
      </c>
      <c r="C1130">
        <v>4636</v>
      </c>
      <c r="D1130">
        <v>751</v>
      </c>
      <c r="E1130">
        <v>85</v>
      </c>
      <c r="F1130">
        <v>2406</v>
      </c>
    </row>
    <row r="1131" spans="1:6" x14ac:dyDescent="0.3">
      <c r="A1131" t="s">
        <v>93</v>
      </c>
      <c r="B1131">
        <v>2016</v>
      </c>
      <c r="C1131">
        <v>6687</v>
      </c>
      <c r="D1131">
        <v>1733</v>
      </c>
      <c r="E1131">
        <v>85</v>
      </c>
      <c r="F1131">
        <v>3409</v>
      </c>
    </row>
    <row r="1132" spans="1:6" x14ac:dyDescent="0.3">
      <c r="A1132" t="s">
        <v>93</v>
      </c>
      <c r="B1132">
        <v>2017</v>
      </c>
      <c r="C1132">
        <v>5816</v>
      </c>
      <c r="D1132">
        <v>934</v>
      </c>
      <c r="E1132">
        <v>85</v>
      </c>
      <c r="F1132">
        <v>4266</v>
      </c>
    </row>
    <row r="1133" spans="1:6" x14ac:dyDescent="0.3">
      <c r="A1133" t="s">
        <v>93</v>
      </c>
      <c r="B1133">
        <v>2018</v>
      </c>
      <c r="C1133">
        <v>5950</v>
      </c>
      <c r="D1133">
        <v>678</v>
      </c>
      <c r="E1133">
        <v>85</v>
      </c>
      <c r="F1133">
        <v>4538</v>
      </c>
    </row>
    <row r="1134" spans="1:6" x14ac:dyDescent="0.3">
      <c r="A1134" t="s">
        <v>93</v>
      </c>
      <c r="B1134">
        <v>2019</v>
      </c>
      <c r="C1134">
        <v>7673</v>
      </c>
      <c r="D1134">
        <v>436</v>
      </c>
      <c r="E1134">
        <v>85</v>
      </c>
      <c r="F1134">
        <v>4640</v>
      </c>
    </row>
    <row r="1135" spans="1:6" x14ac:dyDescent="0.3">
      <c r="A1135" t="s">
        <v>93</v>
      </c>
      <c r="B1135">
        <v>2020</v>
      </c>
      <c r="C1135">
        <v>7939</v>
      </c>
      <c r="D1135">
        <v>1025</v>
      </c>
      <c r="E1135">
        <v>85</v>
      </c>
      <c r="F1135">
        <v>4739</v>
      </c>
    </row>
    <row r="1136" spans="1:6" x14ac:dyDescent="0.3">
      <c r="A1136" t="s">
        <v>93</v>
      </c>
      <c r="B1136">
        <v>2021</v>
      </c>
      <c r="C1136">
        <v>8005</v>
      </c>
      <c r="D1136">
        <v>1252</v>
      </c>
      <c r="E1136">
        <v>85</v>
      </c>
      <c r="F1136">
        <v>5753</v>
      </c>
    </row>
    <row r="1137" spans="1:6" x14ac:dyDescent="0.3">
      <c r="A1137" t="s">
        <v>93</v>
      </c>
      <c r="B1137">
        <v>2022</v>
      </c>
      <c r="C1137">
        <v>8508</v>
      </c>
      <c r="D1137">
        <v>777</v>
      </c>
      <c r="E1137">
        <v>85</v>
      </c>
      <c r="F1137">
        <v>5868</v>
      </c>
    </row>
    <row r="1138" spans="1:6" x14ac:dyDescent="0.3">
      <c r="A1138" t="s">
        <v>93</v>
      </c>
      <c r="B1138">
        <v>2023</v>
      </c>
      <c r="C1138">
        <v>9620</v>
      </c>
      <c r="D1138">
        <v>1245</v>
      </c>
      <c r="E1138">
        <v>169</v>
      </c>
      <c r="F1138">
        <v>6029</v>
      </c>
    </row>
    <row r="1139" spans="1:6" x14ac:dyDescent="0.3">
      <c r="A1139" t="s">
        <v>93</v>
      </c>
      <c r="B1139">
        <v>2024</v>
      </c>
      <c r="C1139">
        <v>10728</v>
      </c>
      <c r="D1139">
        <v>1656</v>
      </c>
      <c r="E1139">
        <v>169</v>
      </c>
      <c r="F1139">
        <v>6687</v>
      </c>
    </row>
    <row r="1140" spans="1:6" x14ac:dyDescent="0.3">
      <c r="A1140" t="s">
        <v>94</v>
      </c>
      <c r="C1140">
        <v>15025</v>
      </c>
      <c r="D1140">
        <v>1809</v>
      </c>
    </row>
    <row r="1141" spans="1:6" x14ac:dyDescent="0.3">
      <c r="A1141" t="s">
        <v>94</v>
      </c>
      <c r="B1141">
        <v>2013</v>
      </c>
      <c r="C1141">
        <v>2132</v>
      </c>
      <c r="D1141">
        <v>-27</v>
      </c>
      <c r="E1141">
        <v>33</v>
      </c>
      <c r="F1141">
        <v>1198</v>
      </c>
    </row>
    <row r="1142" spans="1:6" x14ac:dyDescent="0.3">
      <c r="A1142" t="s">
        <v>94</v>
      </c>
      <c r="B1142">
        <v>2014</v>
      </c>
      <c r="C1142">
        <v>2333</v>
      </c>
      <c r="D1142">
        <v>-19</v>
      </c>
      <c r="E1142">
        <v>33</v>
      </c>
      <c r="F1142">
        <v>958</v>
      </c>
    </row>
    <row r="1143" spans="1:6" x14ac:dyDescent="0.3">
      <c r="A1143" t="s">
        <v>94</v>
      </c>
      <c r="B1143">
        <v>2015</v>
      </c>
      <c r="C1143">
        <v>2284</v>
      </c>
      <c r="D1143">
        <v>129</v>
      </c>
      <c r="E1143">
        <v>33</v>
      </c>
      <c r="F1143">
        <v>1389</v>
      </c>
    </row>
    <row r="1144" spans="1:6" x14ac:dyDescent="0.3">
      <c r="A1144" t="s">
        <v>94</v>
      </c>
      <c r="B1144">
        <v>2016</v>
      </c>
      <c r="C1144">
        <v>1686</v>
      </c>
      <c r="D1144">
        <v>55</v>
      </c>
      <c r="E1144">
        <v>33</v>
      </c>
      <c r="F1144">
        <v>1431</v>
      </c>
    </row>
    <row r="1145" spans="1:6" x14ac:dyDescent="0.3">
      <c r="A1145" t="s">
        <v>94</v>
      </c>
      <c r="B1145">
        <v>2017</v>
      </c>
      <c r="C1145">
        <v>1812</v>
      </c>
      <c r="D1145">
        <v>85</v>
      </c>
      <c r="E1145">
        <v>33</v>
      </c>
      <c r="F1145">
        <v>1514</v>
      </c>
    </row>
    <row r="1146" spans="1:6" x14ac:dyDescent="0.3">
      <c r="A1146" t="s">
        <v>94</v>
      </c>
      <c r="B1146">
        <v>2018</v>
      </c>
      <c r="C1146">
        <v>2157</v>
      </c>
      <c r="D1146">
        <v>87</v>
      </c>
      <c r="E1146">
        <v>33</v>
      </c>
      <c r="F1146">
        <v>1562</v>
      </c>
    </row>
    <row r="1147" spans="1:6" x14ac:dyDescent="0.3">
      <c r="A1147" t="s">
        <v>94</v>
      </c>
      <c r="B1147">
        <v>2019</v>
      </c>
      <c r="C1147">
        <v>2630</v>
      </c>
      <c r="D1147">
        <v>95</v>
      </c>
      <c r="E1147">
        <v>33</v>
      </c>
      <c r="F1147">
        <v>1613</v>
      </c>
    </row>
    <row r="1148" spans="1:6" x14ac:dyDescent="0.3">
      <c r="A1148" t="s">
        <v>94</v>
      </c>
      <c r="B1148">
        <v>2020</v>
      </c>
      <c r="C1148">
        <v>3486</v>
      </c>
      <c r="D1148">
        <v>106</v>
      </c>
      <c r="E1148">
        <v>36</v>
      </c>
      <c r="F1148">
        <v>2352</v>
      </c>
    </row>
    <row r="1149" spans="1:6" x14ac:dyDescent="0.3">
      <c r="A1149" t="s">
        <v>94</v>
      </c>
      <c r="B1149">
        <v>2021</v>
      </c>
      <c r="C1149">
        <v>2593</v>
      </c>
      <c r="D1149">
        <v>-181</v>
      </c>
      <c r="E1149">
        <v>36</v>
      </c>
      <c r="F1149">
        <v>2277</v>
      </c>
    </row>
    <row r="1150" spans="1:6" x14ac:dyDescent="0.3">
      <c r="A1150" t="s">
        <v>94</v>
      </c>
      <c r="B1150">
        <v>2022</v>
      </c>
      <c r="C1150">
        <v>4498</v>
      </c>
      <c r="D1150">
        <v>35</v>
      </c>
      <c r="E1150">
        <v>36</v>
      </c>
      <c r="F1150">
        <v>2328</v>
      </c>
    </row>
    <row r="1151" spans="1:6" x14ac:dyDescent="0.3">
      <c r="A1151" t="s">
        <v>94</v>
      </c>
      <c r="B1151">
        <v>2023</v>
      </c>
      <c r="C1151">
        <v>8242</v>
      </c>
      <c r="D1151">
        <v>394</v>
      </c>
      <c r="E1151">
        <v>36</v>
      </c>
      <c r="F1151">
        <v>2560</v>
      </c>
    </row>
    <row r="1152" spans="1:6" x14ac:dyDescent="0.3">
      <c r="A1152" t="s">
        <v>94</v>
      </c>
      <c r="B1152">
        <v>2024</v>
      </c>
      <c r="C1152">
        <v>12375</v>
      </c>
      <c r="D1152">
        <v>1477</v>
      </c>
      <c r="E1152">
        <v>36</v>
      </c>
      <c r="F1152">
        <v>4032</v>
      </c>
    </row>
    <row r="1153" spans="1:6" x14ac:dyDescent="0.3">
      <c r="A1153" t="s">
        <v>95</v>
      </c>
      <c r="C1153">
        <v>42886</v>
      </c>
      <c r="D1153">
        <v>2094</v>
      </c>
    </row>
    <row r="1154" spans="1:6" x14ac:dyDescent="0.3">
      <c r="A1154" t="s">
        <v>95</v>
      </c>
      <c r="B1154">
        <v>2013</v>
      </c>
      <c r="C1154">
        <v>7510</v>
      </c>
      <c r="D1154">
        <v>198</v>
      </c>
      <c r="E1154">
        <v>48</v>
      </c>
      <c r="F1154">
        <v>851</v>
      </c>
    </row>
    <row r="1155" spans="1:6" x14ac:dyDescent="0.3">
      <c r="A1155" t="s">
        <v>95</v>
      </c>
      <c r="B1155">
        <v>2014</v>
      </c>
      <c r="C1155">
        <v>8384</v>
      </c>
      <c r="D1155">
        <v>187</v>
      </c>
      <c r="E1155">
        <v>48</v>
      </c>
      <c r="F1155">
        <v>1113</v>
      </c>
    </row>
    <row r="1156" spans="1:6" x14ac:dyDescent="0.3">
      <c r="A1156" t="s">
        <v>95</v>
      </c>
      <c r="B1156">
        <v>2015</v>
      </c>
      <c r="C1156">
        <v>10256</v>
      </c>
      <c r="D1156">
        <v>328</v>
      </c>
      <c r="E1156">
        <v>48</v>
      </c>
      <c r="F1156">
        <v>1277</v>
      </c>
    </row>
    <row r="1157" spans="1:6" x14ac:dyDescent="0.3">
      <c r="A1157" t="s">
        <v>95</v>
      </c>
      <c r="B1157">
        <v>2016</v>
      </c>
      <c r="C1157">
        <v>11377</v>
      </c>
      <c r="D1157">
        <v>429</v>
      </c>
      <c r="E1157">
        <v>48</v>
      </c>
      <c r="F1157">
        <v>1771</v>
      </c>
    </row>
    <row r="1158" spans="1:6" x14ac:dyDescent="0.3">
      <c r="A1158" t="s">
        <v>95</v>
      </c>
      <c r="B1158">
        <v>2017</v>
      </c>
      <c r="C1158">
        <v>12463</v>
      </c>
      <c r="D1158">
        <v>509</v>
      </c>
      <c r="E1158">
        <v>48</v>
      </c>
      <c r="F1158">
        <v>2169</v>
      </c>
    </row>
    <row r="1159" spans="1:6" x14ac:dyDescent="0.3">
      <c r="A1159" t="s">
        <v>95</v>
      </c>
      <c r="B1159">
        <v>2018</v>
      </c>
      <c r="C1159">
        <v>16340</v>
      </c>
      <c r="D1159">
        <v>665</v>
      </c>
      <c r="E1159">
        <v>48</v>
      </c>
      <c r="F1159">
        <v>2630</v>
      </c>
    </row>
    <row r="1160" spans="1:6" x14ac:dyDescent="0.3">
      <c r="A1160" t="s">
        <v>95</v>
      </c>
      <c r="B1160">
        <v>2019</v>
      </c>
      <c r="C1160">
        <v>20160</v>
      </c>
      <c r="D1160">
        <v>725</v>
      </c>
      <c r="E1160">
        <v>48</v>
      </c>
      <c r="F1160">
        <v>3123</v>
      </c>
    </row>
    <row r="1161" spans="1:6" x14ac:dyDescent="0.3">
      <c r="A1161" t="s">
        <v>95</v>
      </c>
      <c r="B1161">
        <v>2020</v>
      </c>
      <c r="C1161">
        <v>18849</v>
      </c>
      <c r="D1161">
        <v>647</v>
      </c>
      <c r="E1161">
        <v>48</v>
      </c>
      <c r="F1161">
        <v>3235</v>
      </c>
    </row>
    <row r="1162" spans="1:6" x14ac:dyDescent="0.3">
      <c r="A1162" t="s">
        <v>95</v>
      </c>
      <c r="B1162">
        <v>2021</v>
      </c>
      <c r="C1162">
        <v>19421</v>
      </c>
      <c r="D1162">
        <v>608</v>
      </c>
      <c r="E1162">
        <v>48</v>
      </c>
      <c r="F1162">
        <v>3779</v>
      </c>
    </row>
    <row r="1163" spans="1:6" x14ac:dyDescent="0.3">
      <c r="A1163" t="s">
        <v>95</v>
      </c>
      <c r="B1163">
        <v>2022</v>
      </c>
      <c r="C1163">
        <v>24355</v>
      </c>
      <c r="D1163">
        <v>731</v>
      </c>
      <c r="E1163">
        <v>48</v>
      </c>
      <c r="F1163">
        <v>4352</v>
      </c>
    </row>
    <row r="1164" spans="1:6" x14ac:dyDescent="0.3">
      <c r="A1164" t="s">
        <v>95</v>
      </c>
      <c r="B1164">
        <v>2023</v>
      </c>
      <c r="C1164">
        <v>31974</v>
      </c>
      <c r="D1164">
        <v>1309</v>
      </c>
      <c r="E1164">
        <v>48</v>
      </c>
      <c r="F1164">
        <v>5457</v>
      </c>
    </row>
    <row r="1165" spans="1:6" x14ac:dyDescent="0.3">
      <c r="A1165" t="s">
        <v>95</v>
      </c>
      <c r="B1165">
        <v>2024</v>
      </c>
      <c r="C1165">
        <v>39145</v>
      </c>
      <c r="D1165">
        <v>1779</v>
      </c>
      <c r="E1165">
        <v>48</v>
      </c>
      <c r="F1165">
        <v>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H2" sqref="H2:H3"/>
    </sheetView>
  </sheetViews>
  <sheetFormatPr defaultRowHeight="14.4" x14ac:dyDescent="0.3"/>
  <sheetData>
    <row r="1" spans="1:8" ht="28.8" customHeight="1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t="s">
        <v>4</v>
      </c>
      <c r="B2">
        <v>2024</v>
      </c>
      <c r="C2">
        <v>1201</v>
      </c>
      <c r="D2">
        <v>21</v>
      </c>
      <c r="E2">
        <v>3678</v>
      </c>
      <c r="F2">
        <f>C2/(D2+E2)*100</f>
        <v>32.468234658015682</v>
      </c>
      <c r="G2">
        <v>32.468234658015682</v>
      </c>
      <c r="H2">
        <f>ABS(F2-G2)</f>
        <v>0</v>
      </c>
    </row>
    <row r="3" spans="1:8" x14ac:dyDescent="0.3">
      <c r="A3" t="s">
        <v>90</v>
      </c>
      <c r="B3">
        <v>2024</v>
      </c>
      <c r="C3">
        <v>46099</v>
      </c>
      <c r="D3">
        <v>362</v>
      </c>
      <c r="E3">
        <v>90127</v>
      </c>
      <c r="F3">
        <f>C3/(D3+E3)*100</f>
        <v>50.944313673485176</v>
      </c>
      <c r="G3">
        <v>50.944313673485183</v>
      </c>
      <c r="H3">
        <f>ABS(F3-G3)</f>
        <v>7.1054273576010019E-15</v>
      </c>
    </row>
    <row r="4" spans="1:8" x14ac:dyDescent="0.3">
      <c r="A4" t="s">
        <v>79</v>
      </c>
      <c r="B4">
        <v>2024</v>
      </c>
      <c r="C4">
        <v>79020</v>
      </c>
      <c r="D4">
        <v>6766</v>
      </c>
      <c r="E4">
        <v>786715</v>
      </c>
      <c r="F4">
        <f>C4/(D4+E4)*100</f>
        <v>9.9586505536994583</v>
      </c>
      <c r="G4">
        <v>9.9586505536994583</v>
      </c>
      <c r="H4">
        <f>ABS(F4-G4)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tabSelected="1" topLeftCell="A5" workbookViewId="0">
      <selection activeCell="J18" sqref="J18"/>
    </sheetView>
  </sheetViews>
  <sheetFormatPr defaultRowHeight="14.4" x14ac:dyDescent="0.3"/>
  <cols>
    <col min="6" max="6" width="11.5546875" bestFit="1" customWidth="1"/>
    <col min="8" max="8" width="11.5546875" bestFit="1" customWidth="1"/>
  </cols>
  <sheetData>
    <row r="1" spans="1:8" ht="43.2" x14ac:dyDescent="0.3">
      <c r="A1" s="1" t="s">
        <v>101</v>
      </c>
      <c r="B1" s="1" t="s">
        <v>102</v>
      </c>
      <c r="C1" s="3" t="s">
        <v>109</v>
      </c>
      <c r="D1" s="3" t="s">
        <v>110</v>
      </c>
      <c r="E1" s="3" t="s">
        <v>111</v>
      </c>
      <c r="F1" s="3" t="s">
        <v>112</v>
      </c>
      <c r="G1" s="3" t="s">
        <v>113</v>
      </c>
      <c r="H1" s="3" t="s">
        <v>108</v>
      </c>
    </row>
    <row r="2" spans="1:8" x14ac:dyDescent="0.3">
      <c r="A2" s="4" t="s">
        <v>4</v>
      </c>
      <c r="B2" s="4">
        <v>2017</v>
      </c>
      <c r="C2" s="2">
        <v>2903</v>
      </c>
      <c r="D2" s="2">
        <v>1653</v>
      </c>
      <c r="E2" s="2">
        <v>5</v>
      </c>
      <c r="F2" s="2">
        <f>((C2/D2)^(1/E2)-1)*100</f>
        <v>11.921838734412127</v>
      </c>
      <c r="G2" s="2">
        <v>11.92</v>
      </c>
      <c r="H2" s="2">
        <f>ABS(F2-G2)</f>
        <v>1.8387344121268967E-3</v>
      </c>
    </row>
    <row r="3" spans="1:8" x14ac:dyDescent="0.3">
      <c r="A3" s="4" t="s">
        <v>4</v>
      </c>
      <c r="B3" s="4">
        <v>2019</v>
      </c>
      <c r="C3" s="2">
        <v>3679</v>
      </c>
      <c r="D3" s="2">
        <v>2276</v>
      </c>
      <c r="E3" s="2">
        <v>5</v>
      </c>
      <c r="F3" s="2">
        <f t="shared" ref="F3:F24" si="0">((C3/D3)^(1/E3)-1)*100</f>
        <v>10.080781986304022</v>
      </c>
      <c r="G3" s="2">
        <v>10.08</v>
      </c>
      <c r="H3" s="2">
        <f t="shared" ref="H3:H24" si="1">ABS(F3-G3)</f>
        <v>7.8198630402148694E-4</v>
      </c>
    </row>
    <row r="4" spans="1:8" x14ac:dyDescent="0.3">
      <c r="A4" s="4" t="s">
        <v>4</v>
      </c>
      <c r="B4" s="4">
        <v>2020</v>
      </c>
      <c r="C4" s="2">
        <v>4093</v>
      </c>
      <c r="D4" s="2">
        <v>2289</v>
      </c>
      <c r="E4" s="2">
        <v>5</v>
      </c>
      <c r="F4" s="2">
        <f t="shared" si="0"/>
        <v>12.3257146520954</v>
      </c>
      <c r="G4" s="2">
        <v>12.33</v>
      </c>
      <c r="H4" s="2">
        <f t="shared" si="1"/>
        <v>4.285347904600556E-3</v>
      </c>
    </row>
    <row r="5" spans="1:8" x14ac:dyDescent="0.3">
      <c r="A5" s="4" t="s">
        <v>4</v>
      </c>
      <c r="B5" s="4">
        <v>2021</v>
      </c>
      <c r="C5" s="2">
        <v>4310</v>
      </c>
      <c r="D5" s="2">
        <v>2614</v>
      </c>
      <c r="E5" s="2">
        <v>5</v>
      </c>
      <c r="F5" s="2">
        <f t="shared" si="0"/>
        <v>10.518335991975135</v>
      </c>
      <c r="G5" s="2">
        <v>10.52</v>
      </c>
      <c r="H5" s="2">
        <f t="shared" si="1"/>
        <v>1.6640080248642164E-3</v>
      </c>
    </row>
    <row r="6" spans="1:8" x14ac:dyDescent="0.3">
      <c r="A6" s="4" t="s">
        <v>4</v>
      </c>
      <c r="B6" s="4">
        <v>2022</v>
      </c>
      <c r="C6" s="2">
        <v>4913</v>
      </c>
      <c r="D6" s="2">
        <v>2903</v>
      </c>
      <c r="E6" s="2">
        <v>5</v>
      </c>
      <c r="F6" s="2">
        <f t="shared" si="0"/>
        <v>11.09638963877595</v>
      </c>
      <c r="G6" s="2">
        <v>11.1</v>
      </c>
      <c r="H6" s="2">
        <f t="shared" si="1"/>
        <v>3.6103612240498961E-3</v>
      </c>
    </row>
    <row r="7" spans="1:8" x14ac:dyDescent="0.3">
      <c r="A7" s="4" t="s">
        <v>4</v>
      </c>
      <c r="B7" s="4">
        <v>2023</v>
      </c>
      <c r="C7" s="2">
        <v>5349</v>
      </c>
      <c r="D7" s="2">
        <v>3298</v>
      </c>
      <c r="E7" s="2">
        <v>5</v>
      </c>
      <c r="F7" s="2">
        <f t="shared" si="0"/>
        <v>10.155044260938272</v>
      </c>
      <c r="G7" s="2">
        <v>10.16</v>
      </c>
      <c r="H7" s="2">
        <f t="shared" si="1"/>
        <v>4.9557390617280817E-3</v>
      </c>
    </row>
    <row r="8" spans="1:8" x14ac:dyDescent="0.3">
      <c r="A8" s="4" t="s">
        <v>4</v>
      </c>
      <c r="B8" s="4">
        <v>2024</v>
      </c>
      <c r="C8" s="2">
        <v>5849</v>
      </c>
      <c r="D8" s="2">
        <v>3679</v>
      </c>
      <c r="E8" s="2">
        <v>5</v>
      </c>
      <c r="F8" s="2">
        <f t="shared" si="0"/>
        <v>9.7161012772901678</v>
      </c>
      <c r="G8" s="2">
        <v>9.7200000000000006</v>
      </c>
      <c r="H8" s="2">
        <f t="shared" si="1"/>
        <v>3.8987227098328248E-3</v>
      </c>
    </row>
    <row r="9" spans="1:8" x14ac:dyDescent="0.3">
      <c r="A9" s="1"/>
      <c r="B9" s="1"/>
      <c r="C9" s="3"/>
      <c r="D9" s="3"/>
      <c r="E9" s="3"/>
      <c r="F9" s="2"/>
      <c r="G9" s="3"/>
      <c r="H9" s="2"/>
    </row>
    <row r="10" spans="1:8" x14ac:dyDescent="0.3">
      <c r="A10" s="4" t="s">
        <v>90</v>
      </c>
      <c r="B10" s="4">
        <v>2018</v>
      </c>
      <c r="C10" s="2">
        <v>123104</v>
      </c>
      <c r="D10" s="2">
        <v>62989</v>
      </c>
      <c r="E10" s="2">
        <v>5</v>
      </c>
      <c r="F10" s="2">
        <f t="shared" si="0"/>
        <v>14.340869430011583</v>
      </c>
      <c r="G10">
        <v>14.34</v>
      </c>
      <c r="H10" s="2">
        <f t="shared" si="1"/>
        <v>8.6943001158346078E-4</v>
      </c>
    </row>
    <row r="11" spans="1:8" x14ac:dyDescent="0.3">
      <c r="A11" s="4" t="s">
        <v>90</v>
      </c>
      <c r="B11" s="4">
        <v>2019</v>
      </c>
      <c r="C11" s="2">
        <v>146463</v>
      </c>
      <c r="D11" s="2">
        <v>81809</v>
      </c>
      <c r="E11" s="2">
        <v>5</v>
      </c>
      <c r="F11" s="2">
        <f t="shared" si="0"/>
        <v>12.353179810852332</v>
      </c>
      <c r="G11">
        <v>12.35</v>
      </c>
      <c r="H11" s="2">
        <f t="shared" si="1"/>
        <v>3.1798108523322099E-3</v>
      </c>
    </row>
    <row r="12" spans="1:8" x14ac:dyDescent="0.3">
      <c r="A12" s="4" t="s">
        <v>90</v>
      </c>
      <c r="B12" s="4">
        <v>2020</v>
      </c>
      <c r="C12" s="2">
        <v>156949</v>
      </c>
      <c r="D12" s="2">
        <v>94648</v>
      </c>
      <c r="E12" s="2">
        <v>5</v>
      </c>
      <c r="F12" s="2">
        <f t="shared" si="0"/>
        <v>10.644395991959787</v>
      </c>
      <c r="G12">
        <v>10.64</v>
      </c>
      <c r="H12" s="2">
        <f t="shared" si="1"/>
        <v>4.3959919597860164E-3</v>
      </c>
    </row>
    <row r="13" spans="1:8" x14ac:dyDescent="0.3">
      <c r="A13" s="4" t="s">
        <v>90</v>
      </c>
      <c r="B13" s="4">
        <v>2021</v>
      </c>
      <c r="C13" s="2">
        <v>164177</v>
      </c>
      <c r="D13" s="2">
        <v>108646</v>
      </c>
      <c r="E13" s="2">
        <v>5</v>
      </c>
      <c r="F13" s="2">
        <f t="shared" si="0"/>
        <v>8.6074744568252584</v>
      </c>
      <c r="G13">
        <v>8.61</v>
      </c>
      <c r="H13" s="2">
        <f t="shared" si="1"/>
        <v>2.5255431747410739E-3</v>
      </c>
    </row>
    <row r="14" spans="1:8" x14ac:dyDescent="0.3">
      <c r="A14" s="4" t="s">
        <v>90</v>
      </c>
      <c r="B14" s="4">
        <v>2022</v>
      </c>
      <c r="C14" s="2">
        <v>191754</v>
      </c>
      <c r="D14" s="2">
        <v>117966</v>
      </c>
      <c r="E14" s="2">
        <v>5</v>
      </c>
      <c r="F14" s="2">
        <f t="shared" si="0"/>
        <v>10.204039995433668</v>
      </c>
      <c r="G14">
        <v>10.199999999999999</v>
      </c>
      <c r="H14" s="2">
        <f t="shared" si="1"/>
        <v>4.0399954336685084E-3</v>
      </c>
    </row>
    <row r="15" spans="1:8" x14ac:dyDescent="0.3">
      <c r="A15" s="4" t="s">
        <v>90</v>
      </c>
      <c r="B15" s="4">
        <v>2023</v>
      </c>
      <c r="C15" s="2">
        <v>225458</v>
      </c>
      <c r="D15" s="2">
        <v>123104</v>
      </c>
      <c r="E15" s="2">
        <v>5</v>
      </c>
      <c r="F15" s="2">
        <f t="shared" si="0"/>
        <v>12.864846978115496</v>
      </c>
      <c r="G15">
        <v>12.86</v>
      </c>
      <c r="H15" s="2">
        <f t="shared" si="1"/>
        <v>4.8469781154967251E-3</v>
      </c>
    </row>
    <row r="16" spans="1:8" x14ac:dyDescent="0.3">
      <c r="A16" s="4" t="s">
        <v>90</v>
      </c>
      <c r="B16" s="4">
        <v>2024</v>
      </c>
      <c r="C16" s="2">
        <v>240893</v>
      </c>
      <c r="D16" s="2">
        <v>146463</v>
      </c>
      <c r="E16" s="2">
        <v>5</v>
      </c>
      <c r="F16" s="2">
        <f t="shared" si="0"/>
        <v>10.463614801716602</v>
      </c>
      <c r="G16">
        <v>10.46</v>
      </c>
      <c r="H16" s="2">
        <f t="shared" si="1"/>
        <v>3.6148017166013346E-3</v>
      </c>
    </row>
    <row r="17" spans="1:8" x14ac:dyDescent="0.3">
      <c r="F17" s="2"/>
      <c r="H17" s="2"/>
    </row>
    <row r="18" spans="1:8" ht="28.8" x14ac:dyDescent="0.3">
      <c r="A18" s="4" t="s">
        <v>79</v>
      </c>
      <c r="B18" s="4">
        <v>2018</v>
      </c>
      <c r="C18" s="4">
        <v>390823</v>
      </c>
      <c r="D18" s="4">
        <v>395957</v>
      </c>
      <c r="E18" s="4">
        <v>5</v>
      </c>
      <c r="F18" s="2">
        <f t="shared" si="0"/>
        <v>-0.26067659554612765</v>
      </c>
      <c r="G18">
        <v>-0.26</v>
      </c>
      <c r="H18" s="2">
        <f t="shared" si="1"/>
        <v>6.7659554612764516E-4</v>
      </c>
    </row>
    <row r="19" spans="1:8" ht="28.8" x14ac:dyDescent="0.3">
      <c r="A19" s="4" t="s">
        <v>79</v>
      </c>
      <c r="B19" s="4">
        <v>2019</v>
      </c>
      <c r="C19" s="4">
        <v>568337</v>
      </c>
      <c r="D19" s="4">
        <v>433521</v>
      </c>
      <c r="E19" s="4">
        <v>5</v>
      </c>
      <c r="F19" s="2">
        <f t="shared" si="0"/>
        <v>5.564807025835683</v>
      </c>
      <c r="G19">
        <v>5.56</v>
      </c>
      <c r="H19" s="2">
        <f t="shared" si="1"/>
        <v>4.8070258356833762E-3</v>
      </c>
    </row>
    <row r="20" spans="1:8" ht="28.8" x14ac:dyDescent="0.3">
      <c r="A20" s="4" t="s">
        <v>79</v>
      </c>
      <c r="B20" s="4">
        <v>2020</v>
      </c>
      <c r="C20" s="4">
        <v>596679</v>
      </c>
      <c r="D20" s="4">
        <v>374372</v>
      </c>
      <c r="E20" s="4">
        <v>5</v>
      </c>
      <c r="F20" s="2">
        <f t="shared" si="0"/>
        <v>9.7709641428257434</v>
      </c>
      <c r="G20">
        <v>9.77</v>
      </c>
      <c r="H20" s="2">
        <f t="shared" si="1"/>
        <v>9.6414282574386334E-4</v>
      </c>
    </row>
    <row r="21" spans="1:8" ht="28.8" x14ac:dyDescent="0.3">
      <c r="A21" s="4" t="s">
        <v>79</v>
      </c>
      <c r="B21" s="4">
        <v>2021</v>
      </c>
      <c r="C21" s="4">
        <v>466307</v>
      </c>
      <c r="D21" s="4">
        <v>272583</v>
      </c>
      <c r="E21" s="4">
        <v>5</v>
      </c>
      <c r="F21" s="2">
        <f t="shared" si="0"/>
        <v>11.335748602866925</v>
      </c>
      <c r="G21">
        <v>11.34</v>
      </c>
      <c r="H21" s="2">
        <f t="shared" si="1"/>
        <v>4.2513971330748745E-3</v>
      </c>
    </row>
    <row r="22" spans="1:8" ht="28.8" x14ac:dyDescent="0.3">
      <c r="A22" s="4" t="s">
        <v>79</v>
      </c>
      <c r="B22" s="4">
        <v>2022</v>
      </c>
      <c r="C22" s="4">
        <v>694673</v>
      </c>
      <c r="D22" s="4">
        <v>303954</v>
      </c>
      <c r="E22" s="4">
        <v>5</v>
      </c>
      <c r="F22" s="2">
        <f t="shared" si="0"/>
        <v>17.976229281293964</v>
      </c>
      <c r="G22">
        <v>17.98</v>
      </c>
      <c r="H22" s="2">
        <f t="shared" si="1"/>
        <v>3.7707187060362912E-3</v>
      </c>
    </row>
    <row r="23" spans="1:8" ht="28.8" x14ac:dyDescent="0.3">
      <c r="A23" s="4" t="s">
        <v>79</v>
      </c>
      <c r="B23" s="4">
        <v>2023</v>
      </c>
      <c r="C23" s="4">
        <v>876396</v>
      </c>
      <c r="D23" s="4">
        <v>390823</v>
      </c>
      <c r="E23" s="4">
        <v>5</v>
      </c>
      <c r="F23" s="2">
        <f t="shared" si="0"/>
        <v>17.528733050615799</v>
      </c>
      <c r="G23">
        <v>17.53</v>
      </c>
      <c r="H23" s="2">
        <f t="shared" si="1"/>
        <v>1.2669493842025759E-3</v>
      </c>
    </row>
    <row r="24" spans="1:8" ht="28.8" x14ac:dyDescent="0.3">
      <c r="A24" s="4" t="s">
        <v>79</v>
      </c>
      <c r="B24" s="4">
        <v>2024</v>
      </c>
      <c r="C24" s="4">
        <v>899041</v>
      </c>
      <c r="D24" s="4">
        <v>568337</v>
      </c>
      <c r="E24" s="4">
        <v>5</v>
      </c>
      <c r="F24" s="2">
        <f t="shared" si="0"/>
        <v>9.6060970946169721</v>
      </c>
      <c r="G24">
        <v>9.61</v>
      </c>
      <c r="H24" s="2">
        <f t="shared" si="1"/>
        <v>3.9029053830272886E-3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65"/>
  <sheetViews>
    <sheetView topLeftCell="A1083" workbookViewId="0">
      <selection activeCell="D1094" sqref="D1094:D110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</row>
    <row r="3" spans="1:4" x14ac:dyDescent="0.3">
      <c r="A3" t="s">
        <v>4</v>
      </c>
      <c r="B3">
        <v>2012</v>
      </c>
      <c r="C3">
        <v>22.411128284389491</v>
      </c>
    </row>
    <row r="4" spans="1:4" x14ac:dyDescent="0.3">
      <c r="A4" t="s">
        <v>4</v>
      </c>
      <c r="B4">
        <v>2014</v>
      </c>
      <c r="C4">
        <v>25.126903553299488</v>
      </c>
    </row>
    <row r="5" spans="1:4" x14ac:dyDescent="0.3">
      <c r="A5" t="s">
        <v>4</v>
      </c>
      <c r="B5">
        <v>2015</v>
      </c>
      <c r="C5">
        <v>24.439701173959449</v>
      </c>
    </row>
    <row r="6" spans="1:4" x14ac:dyDescent="0.3">
      <c r="A6" t="s">
        <v>4</v>
      </c>
      <c r="B6">
        <v>2016</v>
      </c>
      <c r="C6">
        <v>21.33891213389121</v>
      </c>
    </row>
    <row r="7" spans="1:4" x14ac:dyDescent="0.3">
      <c r="A7" t="s">
        <v>4</v>
      </c>
      <c r="B7">
        <v>2017</v>
      </c>
      <c r="C7">
        <v>19.97116077865898</v>
      </c>
      <c r="D7">
        <v>11.92</v>
      </c>
    </row>
    <row r="8" spans="1:4" x14ac:dyDescent="0.3">
      <c r="A8" t="s">
        <v>4</v>
      </c>
      <c r="B8">
        <v>2018</v>
      </c>
      <c r="C8">
        <v>23.685764914353221</v>
      </c>
    </row>
    <row r="9" spans="1:4" x14ac:dyDescent="0.3">
      <c r="A9" t="s">
        <v>4</v>
      </c>
      <c r="B9">
        <v>2019</v>
      </c>
      <c r="C9">
        <v>22.410358565737049</v>
      </c>
      <c r="D9">
        <v>10.08</v>
      </c>
    </row>
    <row r="10" spans="1:4" x14ac:dyDescent="0.3">
      <c r="A10" t="s">
        <v>4</v>
      </c>
      <c r="B10">
        <v>2020</v>
      </c>
      <c r="C10">
        <v>24.39325380501851</v>
      </c>
      <c r="D10">
        <v>12.33</v>
      </c>
    </row>
    <row r="11" spans="1:4" x14ac:dyDescent="0.3">
      <c r="A11" t="s">
        <v>4</v>
      </c>
      <c r="B11">
        <v>2021</v>
      </c>
      <c r="C11">
        <v>26.556495003843199</v>
      </c>
      <c r="D11">
        <v>10.52</v>
      </c>
    </row>
    <row r="12" spans="1:4" x14ac:dyDescent="0.3">
      <c r="A12" t="s">
        <v>4</v>
      </c>
      <c r="B12">
        <v>2022</v>
      </c>
      <c r="C12">
        <v>28.333333333333329</v>
      </c>
      <c r="D12">
        <v>11.1</v>
      </c>
    </row>
    <row r="13" spans="1:4" x14ac:dyDescent="0.3">
      <c r="A13" t="s">
        <v>4</v>
      </c>
      <c r="B13">
        <v>2023</v>
      </c>
      <c r="C13">
        <v>29.767879548306151</v>
      </c>
      <c r="D13">
        <v>10.16</v>
      </c>
    </row>
    <row r="14" spans="1:4" x14ac:dyDescent="0.3">
      <c r="A14" t="s">
        <v>4</v>
      </c>
      <c r="B14">
        <v>2024</v>
      </c>
      <c r="C14">
        <v>32.468234658015682</v>
      </c>
      <c r="D14">
        <v>9.7200000000000006</v>
      </c>
    </row>
    <row r="15" spans="1:4" x14ac:dyDescent="0.3">
      <c r="A15" t="s">
        <v>5</v>
      </c>
    </row>
    <row r="16" spans="1:4" x14ac:dyDescent="0.3">
      <c r="A16" t="s">
        <v>5</v>
      </c>
      <c r="B16">
        <v>2014</v>
      </c>
      <c r="C16">
        <v>0</v>
      </c>
    </row>
    <row r="17" spans="1:4" x14ac:dyDescent="0.3">
      <c r="A17" t="s">
        <v>5</v>
      </c>
      <c r="B17">
        <v>2015</v>
      </c>
      <c r="C17">
        <v>-0.64635272391505072</v>
      </c>
    </row>
    <row r="18" spans="1:4" x14ac:dyDescent="0.3">
      <c r="A18" t="s">
        <v>5</v>
      </c>
      <c r="B18">
        <v>2016</v>
      </c>
      <c r="C18">
        <v>13.77245508982036</v>
      </c>
    </row>
    <row r="19" spans="1:4" x14ac:dyDescent="0.3">
      <c r="A19" t="s">
        <v>5</v>
      </c>
      <c r="B19">
        <v>2017</v>
      </c>
      <c r="C19">
        <v>14.116050220563279</v>
      </c>
    </row>
    <row r="20" spans="1:4" x14ac:dyDescent="0.3">
      <c r="A20" t="s">
        <v>5</v>
      </c>
      <c r="B20">
        <v>2018</v>
      </c>
      <c r="C20">
        <v>18.87072808320951</v>
      </c>
    </row>
    <row r="21" spans="1:4" x14ac:dyDescent="0.3">
      <c r="A21" t="s">
        <v>5</v>
      </c>
      <c r="B21">
        <v>2019</v>
      </c>
      <c r="C21">
        <v>6.950142981474575</v>
      </c>
    </row>
    <row r="22" spans="1:4" x14ac:dyDescent="0.3">
      <c r="A22" t="s">
        <v>5</v>
      </c>
      <c r="B22">
        <v>2020</v>
      </c>
      <c r="C22">
        <v>8.3068596305447695</v>
      </c>
      <c r="D22">
        <v>144.37</v>
      </c>
    </row>
    <row r="23" spans="1:4" x14ac:dyDescent="0.3">
      <c r="A23" t="s">
        <v>5</v>
      </c>
      <c r="B23">
        <v>2021</v>
      </c>
      <c r="C23">
        <v>14.46350487722839</v>
      </c>
      <c r="D23">
        <v>35.24</v>
      </c>
    </row>
    <row r="24" spans="1:4" x14ac:dyDescent="0.3">
      <c r="A24" t="s">
        <v>5</v>
      </c>
      <c r="B24">
        <v>2022</v>
      </c>
      <c r="C24">
        <v>12.46847573892868</v>
      </c>
      <c r="D24">
        <v>31.38</v>
      </c>
    </row>
    <row r="25" spans="1:4" x14ac:dyDescent="0.3">
      <c r="A25" t="s">
        <v>5</v>
      </c>
      <c r="B25">
        <v>2023</v>
      </c>
      <c r="C25">
        <v>10.903055579198231</v>
      </c>
      <c r="D25">
        <v>27.51</v>
      </c>
    </row>
    <row r="26" spans="1:4" x14ac:dyDescent="0.3">
      <c r="A26" t="s">
        <v>5</v>
      </c>
      <c r="B26">
        <v>2024</v>
      </c>
      <c r="C26">
        <v>9.4612767977216983</v>
      </c>
      <c r="D26">
        <v>17.850000000000001</v>
      </c>
    </row>
    <row r="27" spans="1:4" x14ac:dyDescent="0.3">
      <c r="A27" t="s">
        <v>6</v>
      </c>
    </row>
    <row r="28" spans="1:4" x14ac:dyDescent="0.3">
      <c r="A28" t="s">
        <v>6</v>
      </c>
      <c r="B28">
        <v>2013</v>
      </c>
      <c r="C28">
        <v>5.6926528323051038</v>
      </c>
    </row>
    <row r="29" spans="1:4" x14ac:dyDescent="0.3">
      <c r="A29" t="s">
        <v>6</v>
      </c>
      <c r="B29">
        <v>2014</v>
      </c>
      <c r="C29">
        <v>11.1377699204445</v>
      </c>
    </row>
    <row r="30" spans="1:4" x14ac:dyDescent="0.3">
      <c r="A30" t="s">
        <v>6</v>
      </c>
      <c r="B30">
        <v>2015</v>
      </c>
      <c r="C30">
        <v>8.9319029850746272</v>
      </c>
    </row>
    <row r="31" spans="1:4" x14ac:dyDescent="0.3">
      <c r="A31" t="s">
        <v>6</v>
      </c>
      <c r="B31">
        <v>2016</v>
      </c>
      <c r="C31">
        <v>7.4749588877261166</v>
      </c>
    </row>
    <row r="32" spans="1:4" x14ac:dyDescent="0.3">
      <c r="A32" t="s">
        <v>6</v>
      </c>
      <c r="B32">
        <v>2017</v>
      </c>
      <c r="C32">
        <v>6.5435766836445959</v>
      </c>
    </row>
    <row r="33" spans="1:4" x14ac:dyDescent="0.3">
      <c r="A33" t="s">
        <v>6</v>
      </c>
      <c r="B33">
        <v>2018</v>
      </c>
      <c r="C33">
        <v>3.9366425873152631</v>
      </c>
      <c r="D33">
        <v>-4.9800000000000004</v>
      </c>
    </row>
    <row r="34" spans="1:4" x14ac:dyDescent="0.3">
      <c r="A34" t="s">
        <v>6</v>
      </c>
      <c r="B34">
        <v>2019</v>
      </c>
      <c r="C34">
        <v>3.4291135809162379</v>
      </c>
      <c r="D34">
        <v>-5.98</v>
      </c>
    </row>
    <row r="35" spans="1:4" x14ac:dyDescent="0.3">
      <c r="A35" t="s">
        <v>6</v>
      </c>
      <c r="B35">
        <v>2020</v>
      </c>
      <c r="C35">
        <v>6.1367793709801148</v>
      </c>
      <c r="D35">
        <v>-7.61</v>
      </c>
    </row>
    <row r="36" spans="1:4" x14ac:dyDescent="0.3">
      <c r="A36" t="s">
        <v>6</v>
      </c>
      <c r="B36">
        <v>2021</v>
      </c>
      <c r="C36">
        <v>6.0959263360335676</v>
      </c>
      <c r="D36">
        <v>3.06</v>
      </c>
    </row>
    <row r="37" spans="1:4" x14ac:dyDescent="0.3">
      <c r="A37" t="s">
        <v>6</v>
      </c>
      <c r="B37">
        <v>2022</v>
      </c>
      <c r="C37">
        <v>3.5404591813811379</v>
      </c>
      <c r="D37">
        <v>13.7</v>
      </c>
    </row>
    <row r="38" spans="1:4" x14ac:dyDescent="0.3">
      <c r="A38" t="s">
        <v>6</v>
      </c>
      <c r="B38">
        <v>2023</v>
      </c>
      <c r="C38">
        <v>7.3280687422468311</v>
      </c>
      <c r="D38">
        <v>28.84</v>
      </c>
    </row>
    <row r="39" spans="1:4" x14ac:dyDescent="0.3">
      <c r="A39" t="s">
        <v>6</v>
      </c>
      <c r="B39">
        <v>2024</v>
      </c>
      <c r="C39">
        <v>8.5346504248131847</v>
      </c>
      <c r="D39">
        <v>19.02</v>
      </c>
    </row>
    <row r="40" spans="1:4" x14ac:dyDescent="0.3">
      <c r="A40" t="s">
        <v>7</v>
      </c>
    </row>
    <row r="41" spans="1:4" x14ac:dyDescent="0.3">
      <c r="A41" t="s">
        <v>7</v>
      </c>
      <c r="B41">
        <v>2017</v>
      </c>
      <c r="C41">
        <v>-3.906899418121363</v>
      </c>
    </row>
    <row r="42" spans="1:4" x14ac:dyDescent="0.3">
      <c r="A42" t="s">
        <v>7</v>
      </c>
      <c r="B42">
        <v>2018</v>
      </c>
      <c r="C42">
        <v>-10.290827740492171</v>
      </c>
    </row>
    <row r="43" spans="1:4" x14ac:dyDescent="0.3">
      <c r="A43" t="s">
        <v>7</v>
      </c>
      <c r="B43">
        <v>2019</v>
      </c>
      <c r="C43">
        <v>-24.573202276254531</v>
      </c>
    </row>
    <row r="44" spans="1:4" x14ac:dyDescent="0.3">
      <c r="A44" t="s">
        <v>7</v>
      </c>
      <c r="B44">
        <v>2020</v>
      </c>
      <c r="C44">
        <v>-2.8850233347475598</v>
      </c>
    </row>
    <row r="45" spans="1:4" x14ac:dyDescent="0.3">
      <c r="A45" t="s">
        <v>7</v>
      </c>
      <c r="B45">
        <v>2021</v>
      </c>
      <c r="C45">
        <v>8.2727272727272734</v>
      </c>
    </row>
    <row r="46" spans="1:4" x14ac:dyDescent="0.3">
      <c r="A46" t="s">
        <v>7</v>
      </c>
      <c r="B46">
        <v>2022</v>
      </c>
      <c r="C46">
        <v>18.706962509563891</v>
      </c>
      <c r="D46">
        <v>59.2</v>
      </c>
    </row>
    <row r="47" spans="1:4" x14ac:dyDescent="0.3">
      <c r="A47" t="s">
        <v>7</v>
      </c>
      <c r="B47">
        <v>2023</v>
      </c>
      <c r="C47">
        <v>13.32146768893757</v>
      </c>
      <c r="D47">
        <v>39.35</v>
      </c>
    </row>
    <row r="48" spans="1:4" x14ac:dyDescent="0.3">
      <c r="A48" t="s">
        <v>7</v>
      </c>
      <c r="B48">
        <v>2024</v>
      </c>
      <c r="C48">
        <v>12.812690665039661</v>
      </c>
      <c r="D48">
        <v>34.979999999999997</v>
      </c>
    </row>
    <row r="49" spans="1:4" x14ac:dyDescent="0.3">
      <c r="A49" t="s">
        <v>8</v>
      </c>
    </row>
    <row r="50" spans="1:4" x14ac:dyDescent="0.3">
      <c r="A50" t="s">
        <v>8</v>
      </c>
      <c r="B50">
        <v>2013</v>
      </c>
      <c r="C50">
        <v>25.633406318423521</v>
      </c>
    </row>
    <row r="51" spans="1:4" x14ac:dyDescent="0.3">
      <c r="A51" t="s">
        <v>8</v>
      </c>
      <c r="B51">
        <v>2014</v>
      </c>
      <c r="C51">
        <v>19.863091842555619</v>
      </c>
    </row>
    <row r="52" spans="1:4" x14ac:dyDescent="0.3">
      <c r="A52" t="s">
        <v>8</v>
      </c>
      <c r="B52">
        <v>2015</v>
      </c>
      <c r="C52">
        <v>21.58848118903855</v>
      </c>
    </row>
    <row r="53" spans="1:4" x14ac:dyDescent="0.3">
      <c r="A53" t="s">
        <v>8</v>
      </c>
      <c r="B53">
        <v>2016</v>
      </c>
      <c r="C53">
        <v>21.147723065531281</v>
      </c>
    </row>
    <row r="54" spans="1:4" x14ac:dyDescent="0.3">
      <c r="A54" t="s">
        <v>8</v>
      </c>
      <c r="B54">
        <v>2017</v>
      </c>
      <c r="C54">
        <v>22.26406481798471</v>
      </c>
    </row>
    <row r="55" spans="1:4" x14ac:dyDescent="0.3">
      <c r="A55" t="s">
        <v>8</v>
      </c>
      <c r="B55">
        <v>2018</v>
      </c>
      <c r="C55">
        <v>17.65296847342487</v>
      </c>
      <c r="D55">
        <v>25.92</v>
      </c>
    </row>
    <row r="56" spans="1:4" x14ac:dyDescent="0.3">
      <c r="A56" t="s">
        <v>8</v>
      </c>
      <c r="B56">
        <v>2019</v>
      </c>
      <c r="C56">
        <v>16.59691449204005</v>
      </c>
      <c r="D56">
        <v>17.73</v>
      </c>
    </row>
    <row r="57" spans="1:4" x14ac:dyDescent="0.3">
      <c r="A57" t="s">
        <v>8</v>
      </c>
      <c r="B57">
        <v>2020</v>
      </c>
      <c r="C57">
        <v>14.86820913697608</v>
      </c>
      <c r="D57">
        <v>14.05</v>
      </c>
    </row>
    <row r="58" spans="1:4" x14ac:dyDescent="0.3">
      <c r="A58" t="s">
        <v>8</v>
      </c>
      <c r="B58">
        <v>2021</v>
      </c>
      <c r="C58">
        <v>16.586183108307871</v>
      </c>
      <c r="D58">
        <v>12.04</v>
      </c>
    </row>
    <row r="59" spans="1:4" x14ac:dyDescent="0.3">
      <c r="A59" t="s">
        <v>8</v>
      </c>
      <c r="B59">
        <v>2022</v>
      </c>
      <c r="C59">
        <v>11.84333229717128</v>
      </c>
      <c r="D59">
        <v>15.2</v>
      </c>
    </row>
    <row r="60" spans="1:4" x14ac:dyDescent="0.3">
      <c r="A60" t="s">
        <v>8</v>
      </c>
      <c r="B60">
        <v>2023</v>
      </c>
      <c r="C60">
        <v>11.877327105686399</v>
      </c>
      <c r="D60">
        <v>12.99</v>
      </c>
    </row>
    <row r="61" spans="1:4" x14ac:dyDescent="0.3">
      <c r="A61" t="s">
        <v>8</v>
      </c>
      <c r="B61">
        <v>2024</v>
      </c>
      <c r="C61">
        <v>15.354882716283299</v>
      </c>
      <c r="D61">
        <v>19.579999999999998</v>
      </c>
    </row>
    <row r="62" spans="1:4" x14ac:dyDescent="0.3">
      <c r="A62" t="s">
        <v>9</v>
      </c>
    </row>
    <row r="63" spans="1:4" x14ac:dyDescent="0.3">
      <c r="A63" t="s">
        <v>9</v>
      </c>
      <c r="B63">
        <v>2013</v>
      </c>
      <c r="C63">
        <v>-53.459119496855337</v>
      </c>
    </row>
    <row r="64" spans="1:4" x14ac:dyDescent="0.3">
      <c r="A64" t="s">
        <v>9</v>
      </c>
      <c r="B64">
        <v>2014</v>
      </c>
      <c r="C64">
        <v>-4.4475011462631819</v>
      </c>
    </row>
    <row r="65" spans="1:4" x14ac:dyDescent="0.3">
      <c r="A65" t="s">
        <v>9</v>
      </c>
      <c r="B65">
        <v>2015</v>
      </c>
      <c r="C65">
        <v>-14.25327510917031</v>
      </c>
    </row>
    <row r="66" spans="1:4" x14ac:dyDescent="0.3">
      <c r="A66" t="s">
        <v>9</v>
      </c>
      <c r="B66">
        <v>2016</v>
      </c>
      <c r="C66">
        <v>7.3781467595072314</v>
      </c>
    </row>
    <row r="67" spans="1:4" x14ac:dyDescent="0.3">
      <c r="A67" t="s">
        <v>9</v>
      </c>
      <c r="B67">
        <v>2017</v>
      </c>
      <c r="C67">
        <v>-205.8</v>
      </c>
    </row>
    <row r="68" spans="1:4" x14ac:dyDescent="0.3">
      <c r="A68" t="s">
        <v>9</v>
      </c>
      <c r="B68">
        <v>2018</v>
      </c>
      <c r="C68">
        <v>-236.55793025871759</v>
      </c>
      <c r="D68">
        <v>24.85</v>
      </c>
    </row>
    <row r="69" spans="1:4" x14ac:dyDescent="0.3">
      <c r="A69" t="s">
        <v>9</v>
      </c>
      <c r="B69">
        <v>2019</v>
      </c>
      <c r="C69">
        <v>-12.75933609958506</v>
      </c>
      <c r="D69">
        <v>9.2799999999999994</v>
      </c>
    </row>
    <row r="70" spans="1:4" x14ac:dyDescent="0.3">
      <c r="A70" t="s">
        <v>9</v>
      </c>
      <c r="B70">
        <v>2020</v>
      </c>
      <c r="C70">
        <v>-35.102607622280523</v>
      </c>
      <c r="D70">
        <v>7.21</v>
      </c>
    </row>
    <row r="71" spans="1:4" x14ac:dyDescent="0.3">
      <c r="A71" t="s">
        <v>9</v>
      </c>
      <c r="B71">
        <v>2021</v>
      </c>
      <c r="C71">
        <v>9.6850453748188823</v>
      </c>
      <c r="D71">
        <v>0.66</v>
      </c>
    </row>
    <row r="72" spans="1:4" x14ac:dyDescent="0.3">
      <c r="A72" t="s">
        <v>9</v>
      </c>
      <c r="B72">
        <v>2022</v>
      </c>
      <c r="C72">
        <v>26.613209080565639</v>
      </c>
      <c r="D72">
        <v>4.1500000000000004</v>
      </c>
    </row>
    <row r="73" spans="1:4" x14ac:dyDescent="0.3">
      <c r="A73" t="s">
        <v>9</v>
      </c>
      <c r="B73">
        <v>2023</v>
      </c>
      <c r="C73">
        <v>35.905074307136161</v>
      </c>
      <c r="D73">
        <v>13.81</v>
      </c>
    </row>
    <row r="74" spans="1:4" x14ac:dyDescent="0.3">
      <c r="A74" t="s">
        <v>9</v>
      </c>
      <c r="B74">
        <v>2024</v>
      </c>
      <c r="C74">
        <v>48.276741221462508</v>
      </c>
      <c r="D74">
        <v>16.09</v>
      </c>
    </row>
    <row r="75" spans="1:4" x14ac:dyDescent="0.3">
      <c r="A75" t="s">
        <v>10</v>
      </c>
    </row>
    <row r="76" spans="1:4" x14ac:dyDescent="0.3">
      <c r="A76" t="s">
        <v>10</v>
      </c>
      <c r="B76">
        <v>2012</v>
      </c>
      <c r="C76">
        <v>14.68682505399568</v>
      </c>
    </row>
    <row r="77" spans="1:4" x14ac:dyDescent="0.3">
      <c r="A77" t="s">
        <v>10</v>
      </c>
      <c r="B77">
        <v>2013</v>
      </c>
      <c r="C77">
        <v>13.50665821179455</v>
      </c>
    </row>
    <row r="78" spans="1:4" x14ac:dyDescent="0.3">
      <c r="A78" t="s">
        <v>10</v>
      </c>
      <c r="B78">
        <v>2014</v>
      </c>
      <c r="C78">
        <v>14.766633565044691</v>
      </c>
    </row>
    <row r="79" spans="1:4" x14ac:dyDescent="0.3">
      <c r="A79" t="s">
        <v>10</v>
      </c>
      <c r="B79">
        <v>2015</v>
      </c>
      <c r="C79">
        <v>7.8668094635381172</v>
      </c>
    </row>
    <row r="80" spans="1:4" x14ac:dyDescent="0.3">
      <c r="A80" t="s">
        <v>10</v>
      </c>
      <c r="B80">
        <v>2016</v>
      </c>
      <c r="C80">
        <v>7.234751021643711</v>
      </c>
    </row>
    <row r="81" spans="1:4" x14ac:dyDescent="0.3">
      <c r="A81" t="s">
        <v>10</v>
      </c>
      <c r="B81">
        <v>2017</v>
      </c>
      <c r="C81">
        <v>9.4088622291021675</v>
      </c>
      <c r="D81">
        <v>19.350000000000001</v>
      </c>
    </row>
    <row r="82" spans="1:4" x14ac:dyDescent="0.3">
      <c r="A82" t="s">
        <v>10</v>
      </c>
      <c r="B82">
        <v>2018</v>
      </c>
      <c r="C82">
        <v>13.290120697362539</v>
      </c>
      <c r="D82">
        <v>23.24</v>
      </c>
    </row>
    <row r="83" spans="1:4" x14ac:dyDescent="0.3">
      <c r="A83" t="s">
        <v>10</v>
      </c>
      <c r="B83">
        <v>2019</v>
      </c>
      <c r="C83">
        <v>11.55826895921588</v>
      </c>
      <c r="D83">
        <v>22.18</v>
      </c>
    </row>
    <row r="84" spans="1:4" x14ac:dyDescent="0.3">
      <c r="A84" t="s">
        <v>10</v>
      </c>
      <c r="B84">
        <v>2020</v>
      </c>
      <c r="C84">
        <v>13.652941951926881</v>
      </c>
      <c r="D84">
        <v>21.04</v>
      </c>
    </row>
    <row r="85" spans="1:4" x14ac:dyDescent="0.3">
      <c r="A85" t="s">
        <v>10</v>
      </c>
      <c r="B85">
        <v>2021</v>
      </c>
      <c r="C85">
        <v>14.63674370907944</v>
      </c>
      <c r="D85">
        <v>7.59</v>
      </c>
    </row>
    <row r="86" spans="1:4" x14ac:dyDescent="0.3">
      <c r="A86" t="s">
        <v>10</v>
      </c>
      <c r="B86">
        <v>2023</v>
      </c>
      <c r="C86">
        <v>9.5400340715502558</v>
      </c>
      <c r="D86">
        <v>8.3800000000000008</v>
      </c>
    </row>
    <row r="87" spans="1:4" x14ac:dyDescent="0.3">
      <c r="A87" t="s">
        <v>10</v>
      </c>
      <c r="B87">
        <v>2024</v>
      </c>
      <c r="C87">
        <v>11.428984947896559</v>
      </c>
      <c r="D87">
        <v>4.12</v>
      </c>
    </row>
    <row r="88" spans="1:4" x14ac:dyDescent="0.3">
      <c r="A88" t="s">
        <v>11</v>
      </c>
    </row>
    <row r="89" spans="1:4" x14ac:dyDescent="0.3">
      <c r="A89" t="s">
        <v>11</v>
      </c>
      <c r="B89">
        <v>2013</v>
      </c>
      <c r="C89">
        <v>11.03021477975974</v>
      </c>
    </row>
    <row r="90" spans="1:4" x14ac:dyDescent="0.3">
      <c r="A90" t="s">
        <v>11</v>
      </c>
      <c r="B90">
        <v>2014</v>
      </c>
      <c r="C90">
        <v>10.581121934833719</v>
      </c>
    </row>
    <row r="91" spans="1:4" x14ac:dyDescent="0.3">
      <c r="A91" t="s">
        <v>11</v>
      </c>
      <c r="B91">
        <v>2015</v>
      </c>
      <c r="C91">
        <v>10.56116015132408</v>
      </c>
    </row>
    <row r="92" spans="1:4" x14ac:dyDescent="0.3">
      <c r="A92" t="s">
        <v>11</v>
      </c>
      <c r="B92">
        <v>2016</v>
      </c>
      <c r="C92">
        <v>7.0528211284513809</v>
      </c>
    </row>
    <row r="93" spans="1:4" x14ac:dyDescent="0.3">
      <c r="A93" t="s">
        <v>11</v>
      </c>
      <c r="B93">
        <v>2017</v>
      </c>
      <c r="C93">
        <v>3.952926976463488</v>
      </c>
    </row>
    <row r="94" spans="1:4" x14ac:dyDescent="0.3">
      <c r="A94" t="s">
        <v>11</v>
      </c>
      <c r="B94">
        <v>2018</v>
      </c>
      <c r="C94">
        <v>1.8450184501845019</v>
      </c>
      <c r="D94">
        <v>16.940000000000001</v>
      </c>
    </row>
    <row r="95" spans="1:4" x14ac:dyDescent="0.3">
      <c r="A95" t="s">
        <v>11</v>
      </c>
      <c r="B95">
        <v>2019</v>
      </c>
      <c r="C95">
        <v>5.9988002399520104</v>
      </c>
      <c r="D95">
        <v>17.16</v>
      </c>
    </row>
    <row r="96" spans="1:4" x14ac:dyDescent="0.3">
      <c r="A96" t="s">
        <v>11</v>
      </c>
      <c r="B96">
        <v>2020</v>
      </c>
      <c r="C96">
        <v>12.93413173652695</v>
      </c>
      <c r="D96">
        <v>17</v>
      </c>
    </row>
    <row r="97" spans="1:4" x14ac:dyDescent="0.3">
      <c r="A97" t="s">
        <v>11</v>
      </c>
      <c r="B97">
        <v>2021</v>
      </c>
      <c r="C97">
        <v>2.976319791440365</v>
      </c>
      <c r="D97">
        <v>11.42</v>
      </c>
    </row>
    <row r="98" spans="1:4" x14ac:dyDescent="0.3">
      <c r="A98" t="s">
        <v>11</v>
      </c>
      <c r="B98">
        <v>2022</v>
      </c>
      <c r="C98">
        <v>19.70478392317268</v>
      </c>
      <c r="D98">
        <v>15.11</v>
      </c>
    </row>
    <row r="99" spans="1:4" x14ac:dyDescent="0.3">
      <c r="A99" t="s">
        <v>11</v>
      </c>
      <c r="B99">
        <v>2023</v>
      </c>
      <c r="C99">
        <v>13.617295901903841</v>
      </c>
      <c r="D99">
        <v>15.04</v>
      </c>
    </row>
    <row r="100" spans="1:4" x14ac:dyDescent="0.3">
      <c r="A100" t="s">
        <v>11</v>
      </c>
      <c r="B100">
        <v>2024</v>
      </c>
      <c r="C100">
        <v>13.48039215686275</v>
      </c>
      <c r="D100">
        <v>14.66</v>
      </c>
    </row>
    <row r="101" spans="1:4" x14ac:dyDescent="0.3">
      <c r="A101" t="s">
        <v>12</v>
      </c>
    </row>
    <row r="102" spans="1:4" x14ac:dyDescent="0.3">
      <c r="A102" t="s">
        <v>12</v>
      </c>
      <c r="B102">
        <v>2013</v>
      </c>
      <c r="C102">
        <v>34.278959810874703</v>
      </c>
    </row>
    <row r="103" spans="1:4" x14ac:dyDescent="0.3">
      <c r="A103" t="s">
        <v>12</v>
      </c>
      <c r="B103">
        <v>2014</v>
      </c>
      <c r="C103">
        <v>31.270116365436991</v>
      </c>
    </row>
    <row r="104" spans="1:4" x14ac:dyDescent="0.3">
      <c r="A104" t="s">
        <v>12</v>
      </c>
      <c r="B104">
        <v>2015</v>
      </c>
      <c r="C104">
        <v>30.09278785322649</v>
      </c>
    </row>
    <row r="105" spans="1:4" x14ac:dyDescent="0.3">
      <c r="A105" t="s">
        <v>12</v>
      </c>
      <c r="B105">
        <v>2016</v>
      </c>
      <c r="C105">
        <v>27.632183908045981</v>
      </c>
    </row>
    <row r="106" spans="1:4" x14ac:dyDescent="0.3">
      <c r="A106" t="s">
        <v>12</v>
      </c>
      <c r="B106">
        <v>2017</v>
      </c>
      <c r="C106">
        <v>26.5123619147817</v>
      </c>
    </row>
    <row r="107" spans="1:4" x14ac:dyDescent="0.3">
      <c r="A107" t="s">
        <v>12</v>
      </c>
      <c r="B107">
        <v>2018</v>
      </c>
      <c r="C107">
        <v>24.946492271105829</v>
      </c>
      <c r="D107">
        <v>9.8800000000000008</v>
      </c>
    </row>
    <row r="108" spans="1:4" x14ac:dyDescent="0.3">
      <c r="A108" t="s">
        <v>12</v>
      </c>
      <c r="B108">
        <v>2019</v>
      </c>
      <c r="C108">
        <v>23.313272093759899</v>
      </c>
      <c r="D108">
        <v>9.5</v>
      </c>
    </row>
    <row r="109" spans="1:4" x14ac:dyDescent="0.3">
      <c r="A109" t="s">
        <v>12</v>
      </c>
      <c r="B109">
        <v>2020</v>
      </c>
      <c r="C109">
        <v>27.384007897334651</v>
      </c>
      <c r="D109">
        <v>8.2200000000000006</v>
      </c>
    </row>
    <row r="110" spans="1:4" x14ac:dyDescent="0.3">
      <c r="A110" t="s">
        <v>12</v>
      </c>
      <c r="B110">
        <v>2021</v>
      </c>
      <c r="C110">
        <v>25.042948617835389</v>
      </c>
      <c r="D110">
        <v>8.76</v>
      </c>
    </row>
    <row r="111" spans="1:4" x14ac:dyDescent="0.3">
      <c r="A111" t="s">
        <v>12</v>
      </c>
      <c r="B111">
        <v>2022</v>
      </c>
      <c r="C111">
        <v>22.33565015928178</v>
      </c>
      <c r="D111">
        <v>14.08</v>
      </c>
    </row>
    <row r="112" spans="1:4" x14ac:dyDescent="0.3">
      <c r="A112" t="s">
        <v>12</v>
      </c>
      <c r="B112">
        <v>2023</v>
      </c>
      <c r="C112">
        <v>26.231865932966478</v>
      </c>
      <c r="D112">
        <v>15.44</v>
      </c>
    </row>
    <row r="113" spans="1:4" x14ac:dyDescent="0.3">
      <c r="A113" t="s">
        <v>12</v>
      </c>
      <c r="B113">
        <v>2024</v>
      </c>
      <c r="C113">
        <v>29.677488252883379</v>
      </c>
      <c r="D113">
        <v>13.03</v>
      </c>
    </row>
    <row r="114" spans="1:4" x14ac:dyDescent="0.3">
      <c r="A114" t="s">
        <v>13</v>
      </c>
    </row>
    <row r="115" spans="1:4" x14ac:dyDescent="0.3">
      <c r="A115" t="s">
        <v>13</v>
      </c>
      <c r="B115">
        <v>2018</v>
      </c>
      <c r="C115">
        <v>15.94488188976378</v>
      </c>
    </row>
    <row r="116" spans="1:4" x14ac:dyDescent="0.3">
      <c r="A116" t="s">
        <v>13</v>
      </c>
      <c r="B116">
        <v>2019</v>
      </c>
      <c r="C116">
        <v>20.780399274047191</v>
      </c>
    </row>
    <row r="117" spans="1:4" x14ac:dyDescent="0.3">
      <c r="A117" t="s">
        <v>13</v>
      </c>
      <c r="B117">
        <v>2020</v>
      </c>
      <c r="C117">
        <v>29.63970088375255</v>
      </c>
    </row>
    <row r="118" spans="1:4" x14ac:dyDescent="0.3">
      <c r="A118" t="s">
        <v>13</v>
      </c>
      <c r="B118">
        <v>2021</v>
      </c>
      <c r="C118">
        <v>23.940020682523269</v>
      </c>
    </row>
    <row r="119" spans="1:4" x14ac:dyDescent="0.3">
      <c r="A119" t="s">
        <v>13</v>
      </c>
      <c r="B119">
        <v>2022</v>
      </c>
      <c r="C119">
        <v>21.067880794701988</v>
      </c>
    </row>
    <row r="120" spans="1:4" x14ac:dyDescent="0.3">
      <c r="A120" t="s">
        <v>13</v>
      </c>
      <c r="B120">
        <v>2023</v>
      </c>
      <c r="C120">
        <v>18.565113906834409</v>
      </c>
      <c r="D120">
        <v>26.08</v>
      </c>
    </row>
    <row r="121" spans="1:4" x14ac:dyDescent="0.3">
      <c r="A121" t="s">
        <v>13</v>
      </c>
      <c r="B121">
        <v>2024</v>
      </c>
      <c r="C121">
        <v>18.659217877094971</v>
      </c>
      <c r="D121">
        <v>21.09</v>
      </c>
    </row>
    <row r="122" spans="1:4" x14ac:dyDescent="0.3">
      <c r="A122" t="s">
        <v>14</v>
      </c>
    </row>
    <row r="123" spans="1:4" x14ac:dyDescent="0.3">
      <c r="A123" t="s">
        <v>14</v>
      </c>
      <c r="B123">
        <v>2013</v>
      </c>
      <c r="C123">
        <v>15.6191567645817</v>
      </c>
    </row>
    <row r="124" spans="1:4" x14ac:dyDescent="0.3">
      <c r="A124" t="s">
        <v>14</v>
      </c>
      <c r="B124">
        <v>2014</v>
      </c>
      <c r="C124">
        <v>16.19439524950516</v>
      </c>
    </row>
    <row r="125" spans="1:4" x14ac:dyDescent="0.3">
      <c r="A125" t="s">
        <v>14</v>
      </c>
      <c r="B125">
        <v>2015</v>
      </c>
      <c r="C125">
        <v>16.369663396293571</v>
      </c>
    </row>
    <row r="126" spans="1:4" x14ac:dyDescent="0.3">
      <c r="A126" t="s">
        <v>14</v>
      </c>
      <c r="B126">
        <v>2016</v>
      </c>
      <c r="C126">
        <v>15.35502903340242</v>
      </c>
    </row>
    <row r="127" spans="1:4" x14ac:dyDescent="0.3">
      <c r="A127" t="s">
        <v>14</v>
      </c>
      <c r="B127">
        <v>2017</v>
      </c>
      <c r="C127">
        <v>6.5253636041149337</v>
      </c>
    </row>
    <row r="128" spans="1:4" x14ac:dyDescent="0.3">
      <c r="A128" t="s">
        <v>14</v>
      </c>
      <c r="B128">
        <v>2018</v>
      </c>
      <c r="C128">
        <v>0.42985967262136532</v>
      </c>
      <c r="D128">
        <v>10.99</v>
      </c>
    </row>
    <row r="129" spans="1:4" x14ac:dyDescent="0.3">
      <c r="A129" t="s">
        <v>14</v>
      </c>
      <c r="B129">
        <v>2019</v>
      </c>
      <c r="C129">
        <v>6.898026606884752</v>
      </c>
      <c r="D129">
        <v>12.41</v>
      </c>
    </row>
    <row r="130" spans="1:4" x14ac:dyDescent="0.3">
      <c r="A130" t="s">
        <v>14</v>
      </c>
      <c r="B130">
        <v>2020</v>
      </c>
      <c r="C130">
        <v>1.884410470233959</v>
      </c>
      <c r="D130">
        <v>12.04</v>
      </c>
    </row>
    <row r="131" spans="1:4" x14ac:dyDescent="0.3">
      <c r="A131" t="s">
        <v>14</v>
      </c>
      <c r="B131">
        <v>2021</v>
      </c>
      <c r="C131">
        <v>6.3594416665057816</v>
      </c>
      <c r="D131">
        <v>9.1</v>
      </c>
    </row>
    <row r="132" spans="1:4" x14ac:dyDescent="0.3">
      <c r="A132" t="s">
        <v>14</v>
      </c>
      <c r="B132">
        <v>2022</v>
      </c>
      <c r="C132">
        <v>11.013774617160349</v>
      </c>
      <c r="D132">
        <v>8.6300000000000008</v>
      </c>
    </row>
    <row r="133" spans="1:4" x14ac:dyDescent="0.3">
      <c r="A133" t="s">
        <v>14</v>
      </c>
      <c r="B133">
        <v>2023</v>
      </c>
      <c r="C133">
        <v>7.3816660374014686</v>
      </c>
      <c r="D133">
        <v>13.22</v>
      </c>
    </row>
    <row r="134" spans="1:4" x14ac:dyDescent="0.3">
      <c r="A134" t="s">
        <v>14</v>
      </c>
      <c r="B134">
        <v>2024</v>
      </c>
      <c r="C134">
        <v>15.832712405189049</v>
      </c>
      <c r="D134">
        <v>14.74</v>
      </c>
    </row>
    <row r="135" spans="1:4" x14ac:dyDescent="0.3">
      <c r="A135" t="s">
        <v>15</v>
      </c>
    </row>
    <row r="136" spans="1:4" x14ac:dyDescent="0.3">
      <c r="A136" t="s">
        <v>15</v>
      </c>
      <c r="B136">
        <v>2013</v>
      </c>
      <c r="C136">
        <v>38.846869187848732</v>
      </c>
    </row>
    <row r="137" spans="1:4" x14ac:dyDescent="0.3">
      <c r="A137" t="s">
        <v>15</v>
      </c>
      <c r="B137">
        <v>2014</v>
      </c>
      <c r="C137">
        <v>33.244811645519817</v>
      </c>
    </row>
    <row r="138" spans="1:4" x14ac:dyDescent="0.3">
      <c r="A138" t="s">
        <v>15</v>
      </c>
      <c r="B138">
        <v>2015</v>
      </c>
      <c r="C138">
        <v>27.273546642631821</v>
      </c>
    </row>
    <row r="139" spans="1:4" x14ac:dyDescent="0.3">
      <c r="A139" t="s">
        <v>15</v>
      </c>
      <c r="B139">
        <v>2016</v>
      </c>
      <c r="C139">
        <v>28.965763195435091</v>
      </c>
    </row>
    <row r="140" spans="1:4" x14ac:dyDescent="0.3">
      <c r="A140" t="s">
        <v>15</v>
      </c>
      <c r="B140">
        <v>2017</v>
      </c>
      <c r="C140">
        <v>22.843862007168461</v>
      </c>
    </row>
    <row r="141" spans="1:4" x14ac:dyDescent="0.3">
      <c r="A141" t="s">
        <v>15</v>
      </c>
      <c r="B141">
        <v>2018</v>
      </c>
      <c r="C141">
        <v>20.65605875152999</v>
      </c>
      <c r="D141">
        <v>4.71</v>
      </c>
    </row>
    <row r="142" spans="1:4" x14ac:dyDescent="0.3">
      <c r="A142" t="s">
        <v>15</v>
      </c>
      <c r="B142">
        <v>2019</v>
      </c>
      <c r="C142">
        <v>21.211208195239529</v>
      </c>
      <c r="D142">
        <v>8.56</v>
      </c>
    </row>
    <row r="143" spans="1:4" x14ac:dyDescent="0.3">
      <c r="A143" t="s">
        <v>15</v>
      </c>
      <c r="B143">
        <v>2020</v>
      </c>
      <c r="C143">
        <v>24.060566891330438</v>
      </c>
      <c r="D143">
        <v>6.74</v>
      </c>
    </row>
    <row r="144" spans="1:4" x14ac:dyDescent="0.3">
      <c r="A144" t="s">
        <v>15</v>
      </c>
      <c r="B144">
        <v>2021</v>
      </c>
      <c r="C144">
        <v>17.808821911780878</v>
      </c>
      <c r="D144">
        <v>4.21</v>
      </c>
    </row>
    <row r="145" spans="1:4" x14ac:dyDescent="0.3">
      <c r="A145" t="s">
        <v>15</v>
      </c>
      <c r="B145">
        <v>2022</v>
      </c>
      <c r="C145">
        <v>20.65039016711879</v>
      </c>
      <c r="D145">
        <v>8.7899999999999991</v>
      </c>
    </row>
    <row r="146" spans="1:4" x14ac:dyDescent="0.3">
      <c r="A146" t="s">
        <v>15</v>
      </c>
      <c r="B146">
        <v>2023</v>
      </c>
      <c r="C146">
        <v>20.638921054424092</v>
      </c>
      <c r="D146">
        <v>7.66</v>
      </c>
    </row>
    <row r="147" spans="1:4" x14ac:dyDescent="0.3">
      <c r="A147" t="s">
        <v>15</v>
      </c>
      <c r="B147">
        <v>2024</v>
      </c>
      <c r="C147">
        <v>26.614184103307782</v>
      </c>
      <c r="D147">
        <v>8.1300000000000008</v>
      </c>
    </row>
    <row r="148" spans="1:4" x14ac:dyDescent="0.3">
      <c r="A148" t="s">
        <v>16</v>
      </c>
    </row>
    <row r="149" spans="1:4" x14ac:dyDescent="0.3">
      <c r="A149" t="s">
        <v>16</v>
      </c>
      <c r="B149">
        <v>2013</v>
      </c>
      <c r="C149">
        <v>28.37733914380928</v>
      </c>
    </row>
    <row r="150" spans="1:4" x14ac:dyDescent="0.3">
      <c r="A150" t="s">
        <v>16</v>
      </c>
      <c r="B150">
        <v>2014</v>
      </c>
      <c r="C150">
        <v>23.528780068728519</v>
      </c>
    </row>
    <row r="151" spans="1:4" x14ac:dyDescent="0.3">
      <c r="A151" t="s">
        <v>16</v>
      </c>
      <c r="B151">
        <v>2015</v>
      </c>
      <c r="C151">
        <v>21.724231220128051</v>
      </c>
    </row>
    <row r="152" spans="1:4" x14ac:dyDescent="0.3">
      <c r="A152" t="s">
        <v>16</v>
      </c>
      <c r="B152">
        <v>2016</v>
      </c>
      <c r="C152">
        <v>20.405912199426432</v>
      </c>
    </row>
    <row r="153" spans="1:4" x14ac:dyDescent="0.3">
      <c r="A153" t="s">
        <v>16</v>
      </c>
      <c r="B153">
        <v>2017</v>
      </c>
      <c r="C153">
        <v>21.360906445421339</v>
      </c>
    </row>
    <row r="154" spans="1:4" x14ac:dyDescent="0.3">
      <c r="A154" t="s">
        <v>16</v>
      </c>
      <c r="B154">
        <v>2018</v>
      </c>
      <c r="C154">
        <v>20.38763852951228</v>
      </c>
      <c r="D154">
        <v>32.47</v>
      </c>
    </row>
    <row r="155" spans="1:4" x14ac:dyDescent="0.3">
      <c r="A155" t="s">
        <v>16</v>
      </c>
      <c r="B155">
        <v>2019</v>
      </c>
      <c r="C155">
        <v>22.636899747261999</v>
      </c>
      <c r="D155">
        <v>47.89</v>
      </c>
    </row>
    <row r="156" spans="1:4" x14ac:dyDescent="0.3">
      <c r="A156" t="s">
        <v>16</v>
      </c>
      <c r="B156">
        <v>2020</v>
      </c>
      <c r="C156">
        <v>19.148936170212771</v>
      </c>
      <c r="D156">
        <v>36.82</v>
      </c>
    </row>
    <row r="157" spans="1:4" x14ac:dyDescent="0.3">
      <c r="A157" t="s">
        <v>16</v>
      </c>
      <c r="B157">
        <v>2021</v>
      </c>
      <c r="C157">
        <v>20.560982416969019</v>
      </c>
      <c r="D157">
        <v>24.16</v>
      </c>
    </row>
    <row r="158" spans="1:4" x14ac:dyDescent="0.3">
      <c r="A158" t="s">
        <v>16</v>
      </c>
      <c r="B158">
        <v>2022</v>
      </c>
      <c r="C158">
        <v>20.65744030610977</v>
      </c>
      <c r="D158">
        <v>22.79</v>
      </c>
    </row>
    <row r="159" spans="1:4" x14ac:dyDescent="0.3">
      <c r="A159" t="s">
        <v>16</v>
      </c>
      <c r="B159">
        <v>2023</v>
      </c>
      <c r="C159">
        <v>26.31068588790485</v>
      </c>
      <c r="D159">
        <v>20.09</v>
      </c>
    </row>
    <row r="160" spans="1:4" x14ac:dyDescent="0.3">
      <c r="A160" t="s">
        <v>16</v>
      </c>
      <c r="B160">
        <v>2024</v>
      </c>
      <c r="C160">
        <v>25.85035141227954</v>
      </c>
      <c r="D160">
        <v>20.97</v>
      </c>
    </row>
    <row r="161" spans="1:4" x14ac:dyDescent="0.3">
      <c r="A161" t="s">
        <v>17</v>
      </c>
    </row>
    <row r="162" spans="1:4" x14ac:dyDescent="0.3">
      <c r="A162" t="s">
        <v>17</v>
      </c>
      <c r="B162">
        <v>2013</v>
      </c>
      <c r="C162">
        <v>17.941034316094729</v>
      </c>
    </row>
    <row r="163" spans="1:4" x14ac:dyDescent="0.3">
      <c r="A163" t="s">
        <v>17</v>
      </c>
      <c r="B163">
        <v>2014</v>
      </c>
      <c r="C163">
        <v>16.568047337278109</v>
      </c>
    </row>
    <row r="164" spans="1:4" x14ac:dyDescent="0.3">
      <c r="A164" t="s">
        <v>17</v>
      </c>
      <c r="B164">
        <v>2015</v>
      </c>
      <c r="C164">
        <v>15.14970506981259</v>
      </c>
    </row>
    <row r="165" spans="1:4" x14ac:dyDescent="0.3">
      <c r="A165" t="s">
        <v>17</v>
      </c>
      <c r="B165">
        <v>2016</v>
      </c>
      <c r="C165">
        <v>14.810697704832281</v>
      </c>
    </row>
    <row r="166" spans="1:4" x14ac:dyDescent="0.3">
      <c r="A166" t="s">
        <v>17</v>
      </c>
      <c r="B166">
        <v>2017</v>
      </c>
      <c r="C166">
        <v>13.879223257380181</v>
      </c>
    </row>
    <row r="167" spans="1:4" x14ac:dyDescent="0.3">
      <c r="A167" t="s">
        <v>17</v>
      </c>
      <c r="B167">
        <v>2018</v>
      </c>
      <c r="C167">
        <v>10.53529621840403</v>
      </c>
      <c r="D167">
        <v>4.5</v>
      </c>
    </row>
    <row r="168" spans="1:4" x14ac:dyDescent="0.3">
      <c r="A168" t="s">
        <v>17</v>
      </c>
      <c r="B168">
        <v>2019</v>
      </c>
      <c r="C168">
        <v>11.30899376669635</v>
      </c>
      <c r="D168">
        <v>0.38</v>
      </c>
    </row>
    <row r="169" spans="1:4" x14ac:dyDescent="0.3">
      <c r="A169" t="s">
        <v>17</v>
      </c>
      <c r="B169">
        <v>2020</v>
      </c>
      <c r="C169">
        <v>11.09390195584051</v>
      </c>
      <c r="D169">
        <v>-3.65</v>
      </c>
    </row>
    <row r="170" spans="1:4" x14ac:dyDescent="0.3">
      <c r="A170" t="s">
        <v>17</v>
      </c>
      <c r="B170">
        <v>2021</v>
      </c>
      <c r="C170">
        <v>9.8313019614173864</v>
      </c>
      <c r="D170">
        <v>-0.56000000000000005</v>
      </c>
    </row>
    <row r="171" spans="1:4" x14ac:dyDescent="0.3">
      <c r="A171" t="s">
        <v>17</v>
      </c>
      <c r="B171">
        <v>2022</v>
      </c>
      <c r="C171">
        <v>9.6307361934550215</v>
      </c>
      <c r="D171">
        <v>-10.48</v>
      </c>
    </row>
    <row r="172" spans="1:4" x14ac:dyDescent="0.3">
      <c r="A172" t="s">
        <v>17</v>
      </c>
      <c r="B172">
        <v>2023</v>
      </c>
      <c r="C172">
        <v>11.194604137431529</v>
      </c>
      <c r="D172">
        <v>4.4400000000000004</v>
      </c>
    </row>
    <row r="173" spans="1:4" x14ac:dyDescent="0.3">
      <c r="A173" t="s">
        <v>17</v>
      </c>
      <c r="B173">
        <v>2024</v>
      </c>
      <c r="C173">
        <v>13.576787656460271</v>
      </c>
      <c r="D173">
        <v>31.61</v>
      </c>
    </row>
    <row r="174" spans="1:4" x14ac:dyDescent="0.3">
      <c r="A174" t="s">
        <v>18</v>
      </c>
    </row>
    <row r="175" spans="1:4" x14ac:dyDescent="0.3">
      <c r="A175" t="s">
        <v>18</v>
      </c>
      <c r="B175">
        <v>2015</v>
      </c>
      <c r="C175">
        <v>18.708333333333329</v>
      </c>
    </row>
    <row r="176" spans="1:4" x14ac:dyDescent="0.3">
      <c r="A176" t="s">
        <v>18</v>
      </c>
      <c r="B176">
        <v>2016</v>
      </c>
      <c r="C176">
        <v>17.22095058570082</v>
      </c>
    </row>
    <row r="177" spans="1:4" x14ac:dyDescent="0.3">
      <c r="A177" t="s">
        <v>18</v>
      </c>
      <c r="B177">
        <v>2017</v>
      </c>
      <c r="C177">
        <v>19.125</v>
      </c>
    </row>
    <row r="178" spans="1:4" x14ac:dyDescent="0.3">
      <c r="A178" t="s">
        <v>18</v>
      </c>
      <c r="B178">
        <v>2018</v>
      </c>
      <c r="C178">
        <v>15.74962140333165</v>
      </c>
    </row>
    <row r="179" spans="1:4" x14ac:dyDescent="0.3">
      <c r="A179" t="s">
        <v>18</v>
      </c>
      <c r="B179">
        <v>2019</v>
      </c>
      <c r="C179">
        <v>20.282276488805401</v>
      </c>
    </row>
    <row r="180" spans="1:4" x14ac:dyDescent="0.3">
      <c r="A180" t="s">
        <v>18</v>
      </c>
      <c r="B180">
        <v>2020</v>
      </c>
      <c r="C180">
        <v>16.28309824300916</v>
      </c>
      <c r="D180">
        <v>37.369999999999997</v>
      </c>
    </row>
    <row r="181" spans="1:4" x14ac:dyDescent="0.3">
      <c r="A181" t="s">
        <v>18</v>
      </c>
      <c r="B181">
        <v>2021</v>
      </c>
      <c r="C181">
        <v>11.972479549271361</v>
      </c>
      <c r="D181">
        <v>29.59</v>
      </c>
    </row>
    <row r="182" spans="1:4" x14ac:dyDescent="0.3">
      <c r="A182" t="s">
        <v>18</v>
      </c>
      <c r="B182">
        <v>2022</v>
      </c>
      <c r="C182">
        <v>16.077597053508111</v>
      </c>
      <c r="D182">
        <v>25.98</v>
      </c>
    </row>
    <row r="183" spans="1:4" x14ac:dyDescent="0.3">
      <c r="A183" t="s">
        <v>18</v>
      </c>
      <c r="B183">
        <v>2023</v>
      </c>
      <c r="C183">
        <v>21.165305672037078</v>
      </c>
      <c r="D183">
        <v>26.58</v>
      </c>
    </row>
    <row r="184" spans="1:4" x14ac:dyDescent="0.3">
      <c r="A184" t="s">
        <v>18</v>
      </c>
      <c r="B184">
        <v>2024</v>
      </c>
      <c r="C184">
        <v>18.841921351830599</v>
      </c>
      <c r="D184">
        <v>24.35</v>
      </c>
    </row>
    <row r="185" spans="1:4" x14ac:dyDescent="0.3">
      <c r="A185" t="s">
        <v>19</v>
      </c>
    </row>
    <row r="186" spans="1:4" x14ac:dyDescent="0.3">
      <c r="A186" t="s">
        <v>19</v>
      </c>
      <c r="B186">
        <v>2013</v>
      </c>
      <c r="C186">
        <v>14.509344390361161</v>
      </c>
    </row>
    <row r="187" spans="1:4" x14ac:dyDescent="0.3">
      <c r="A187" t="s">
        <v>19</v>
      </c>
      <c r="B187">
        <v>2014</v>
      </c>
      <c r="C187">
        <v>13.30620656855233</v>
      </c>
    </row>
    <row r="188" spans="1:4" x14ac:dyDescent="0.3">
      <c r="A188" t="s">
        <v>19</v>
      </c>
      <c r="B188">
        <v>2015</v>
      </c>
      <c r="C188">
        <v>9.4007330191822565</v>
      </c>
    </row>
    <row r="189" spans="1:4" x14ac:dyDescent="0.3">
      <c r="A189" t="s">
        <v>19</v>
      </c>
      <c r="B189">
        <v>2016</v>
      </c>
      <c r="C189">
        <v>-11.84151706938334</v>
      </c>
    </row>
    <row r="190" spans="1:4" x14ac:dyDescent="0.3">
      <c r="A190" t="s">
        <v>19</v>
      </c>
      <c r="B190">
        <v>2017</v>
      </c>
      <c r="C190">
        <v>4.307242204007709</v>
      </c>
    </row>
    <row r="191" spans="1:4" x14ac:dyDescent="0.3">
      <c r="A191" t="s">
        <v>19</v>
      </c>
      <c r="B191">
        <v>2018</v>
      </c>
      <c r="C191">
        <v>-3.9427908774642439</v>
      </c>
      <c r="D191">
        <v>4.79</v>
      </c>
    </row>
    <row r="192" spans="1:4" x14ac:dyDescent="0.3">
      <c r="A192" t="s">
        <v>19</v>
      </c>
      <c r="B192">
        <v>2019</v>
      </c>
      <c r="C192">
        <v>2.1201541930322212</v>
      </c>
      <c r="D192">
        <v>5.51</v>
      </c>
    </row>
    <row r="193" spans="1:4" x14ac:dyDescent="0.3">
      <c r="A193" t="s">
        <v>19</v>
      </c>
      <c r="B193">
        <v>2020</v>
      </c>
      <c r="C193">
        <v>1.289025543992431</v>
      </c>
      <c r="D193">
        <v>11.93</v>
      </c>
    </row>
    <row r="194" spans="1:4" x14ac:dyDescent="0.3">
      <c r="A194" t="s">
        <v>19</v>
      </c>
      <c r="B194">
        <v>2021</v>
      </c>
      <c r="C194">
        <v>1.9662580410243959</v>
      </c>
      <c r="D194">
        <v>10.16</v>
      </c>
    </row>
    <row r="195" spans="1:4" x14ac:dyDescent="0.3">
      <c r="A195" t="s">
        <v>19</v>
      </c>
      <c r="B195">
        <v>2022</v>
      </c>
      <c r="C195">
        <v>8.6351217494475829</v>
      </c>
      <c r="D195">
        <v>10.54</v>
      </c>
    </row>
    <row r="196" spans="1:4" x14ac:dyDescent="0.3">
      <c r="A196" t="s">
        <v>19</v>
      </c>
      <c r="B196">
        <v>2023</v>
      </c>
      <c r="C196">
        <v>14.28299462186474</v>
      </c>
      <c r="D196">
        <v>15.46</v>
      </c>
    </row>
    <row r="197" spans="1:4" x14ac:dyDescent="0.3">
      <c r="A197" t="s">
        <v>19</v>
      </c>
      <c r="B197">
        <v>2024</v>
      </c>
      <c r="C197">
        <v>15.7618637908999</v>
      </c>
      <c r="D197">
        <v>17.48</v>
      </c>
    </row>
    <row r="198" spans="1:4" x14ac:dyDescent="0.3">
      <c r="A198" t="s">
        <v>20</v>
      </c>
    </row>
    <row r="199" spans="1:4" x14ac:dyDescent="0.3">
      <c r="A199" t="s">
        <v>20</v>
      </c>
      <c r="B199">
        <v>2013</v>
      </c>
      <c r="C199">
        <v>15183.33333333333</v>
      </c>
    </row>
    <row r="200" spans="1:4" x14ac:dyDescent="0.3">
      <c r="A200" t="s">
        <v>20</v>
      </c>
      <c r="B200">
        <v>2014</v>
      </c>
      <c r="C200">
        <v>13600</v>
      </c>
    </row>
    <row r="201" spans="1:4" x14ac:dyDescent="0.3">
      <c r="A201" t="s">
        <v>20</v>
      </c>
      <c r="B201">
        <v>2015</v>
      </c>
      <c r="C201">
        <v>17100</v>
      </c>
    </row>
    <row r="202" spans="1:4" x14ac:dyDescent="0.3">
      <c r="A202" t="s">
        <v>20</v>
      </c>
      <c r="B202">
        <v>2016</v>
      </c>
      <c r="C202">
        <v>11141.66666666667</v>
      </c>
    </row>
    <row r="203" spans="1:4" x14ac:dyDescent="0.3">
      <c r="A203" t="s">
        <v>20</v>
      </c>
      <c r="B203">
        <v>2017</v>
      </c>
      <c r="C203">
        <v>10153.33333333333</v>
      </c>
    </row>
    <row r="204" spans="1:4" x14ac:dyDescent="0.3">
      <c r="A204" t="s">
        <v>20</v>
      </c>
      <c r="B204">
        <v>2018</v>
      </c>
      <c r="C204">
        <v>4616.1290322580644</v>
      </c>
      <c r="D204">
        <v>10.64</v>
      </c>
    </row>
    <row r="205" spans="1:4" x14ac:dyDescent="0.3">
      <c r="A205" t="s">
        <v>20</v>
      </c>
      <c r="B205">
        <v>2019</v>
      </c>
      <c r="C205">
        <v>3851.0204081632651</v>
      </c>
      <c r="D205">
        <v>13.29</v>
      </c>
    </row>
    <row r="206" spans="1:4" x14ac:dyDescent="0.3">
      <c r="A206" t="s">
        <v>20</v>
      </c>
      <c r="B206">
        <v>2020</v>
      </c>
      <c r="C206">
        <v>3318.181818181818</v>
      </c>
      <c r="D206">
        <v>12.83</v>
      </c>
    </row>
    <row r="207" spans="1:4" x14ac:dyDescent="0.3">
      <c r="A207" t="s">
        <v>20</v>
      </c>
      <c r="B207">
        <v>2021</v>
      </c>
      <c r="C207">
        <v>3559.3220338983051</v>
      </c>
      <c r="D207">
        <v>13.92</v>
      </c>
    </row>
    <row r="208" spans="1:4" x14ac:dyDescent="0.3">
      <c r="A208" t="s">
        <v>20</v>
      </c>
      <c r="B208">
        <v>2022</v>
      </c>
      <c r="C208">
        <v>3478.260869565217</v>
      </c>
      <c r="D208">
        <v>12.17</v>
      </c>
    </row>
    <row r="209" spans="1:4" x14ac:dyDescent="0.3">
      <c r="A209" t="s">
        <v>20</v>
      </c>
      <c r="B209">
        <v>2023</v>
      </c>
      <c r="C209">
        <v>3981.333333333333</v>
      </c>
      <c r="D209">
        <v>11.26</v>
      </c>
    </row>
    <row r="210" spans="1:4" x14ac:dyDescent="0.3">
      <c r="A210" t="s">
        <v>20</v>
      </c>
      <c r="B210">
        <v>2024</v>
      </c>
      <c r="C210">
        <v>4744.0476190476193</v>
      </c>
      <c r="D210">
        <v>10.75</v>
      </c>
    </row>
    <row r="211" spans="1:4" x14ac:dyDescent="0.3">
      <c r="A211" t="s">
        <v>21</v>
      </c>
    </row>
    <row r="212" spans="1:4" x14ac:dyDescent="0.3">
      <c r="A212" t="s">
        <v>21</v>
      </c>
      <c r="B212">
        <v>2013</v>
      </c>
      <c r="C212">
        <v>4.5049878780652604</v>
      </c>
    </row>
    <row r="213" spans="1:4" x14ac:dyDescent="0.3">
      <c r="A213" t="s">
        <v>21</v>
      </c>
      <c r="B213">
        <v>2014</v>
      </c>
      <c r="C213">
        <v>5.0522123301425799</v>
      </c>
    </row>
    <row r="214" spans="1:4" x14ac:dyDescent="0.3">
      <c r="A214" t="s">
        <v>21</v>
      </c>
      <c r="B214">
        <v>2015</v>
      </c>
      <c r="C214">
        <v>12.69075093647082</v>
      </c>
    </row>
    <row r="215" spans="1:4" x14ac:dyDescent="0.3">
      <c r="A215" t="s">
        <v>21</v>
      </c>
      <c r="B215">
        <v>2016</v>
      </c>
      <c r="C215">
        <v>10.32349857720533</v>
      </c>
    </row>
    <row r="216" spans="1:4" x14ac:dyDescent="0.3">
      <c r="A216" t="s">
        <v>21</v>
      </c>
      <c r="B216">
        <v>2017</v>
      </c>
      <c r="C216">
        <v>6.286967994426079</v>
      </c>
    </row>
    <row r="217" spans="1:4" x14ac:dyDescent="0.3">
      <c r="A217" t="s">
        <v>21</v>
      </c>
      <c r="B217">
        <v>2018</v>
      </c>
      <c r="C217">
        <v>3.140864312935931</v>
      </c>
      <c r="D217">
        <v>1.44</v>
      </c>
    </row>
    <row r="218" spans="1:4" x14ac:dyDescent="0.3">
      <c r="A218" t="s">
        <v>21</v>
      </c>
      <c r="B218">
        <v>2019</v>
      </c>
      <c r="C218">
        <v>2.3633843439788298</v>
      </c>
      <c r="D218">
        <v>-1.21</v>
      </c>
    </row>
    <row r="219" spans="1:4" x14ac:dyDescent="0.3">
      <c r="A219" t="s">
        <v>21</v>
      </c>
      <c r="B219">
        <v>2020</v>
      </c>
      <c r="C219">
        <v>-39.748525503921194</v>
      </c>
      <c r="D219">
        <v>-1.85</v>
      </c>
    </row>
    <row r="220" spans="1:4" x14ac:dyDescent="0.3">
      <c r="A220" t="s">
        <v>21</v>
      </c>
      <c r="B220">
        <v>2021</v>
      </c>
      <c r="C220">
        <v>-20.97263922107442</v>
      </c>
      <c r="D220">
        <v>0.83</v>
      </c>
    </row>
    <row r="221" spans="1:4" x14ac:dyDescent="0.3">
      <c r="A221" t="s">
        <v>21</v>
      </c>
      <c r="B221">
        <v>2022</v>
      </c>
      <c r="C221">
        <v>12.47858881509752</v>
      </c>
      <c r="D221">
        <v>4.07</v>
      </c>
    </row>
    <row r="222" spans="1:4" x14ac:dyDescent="0.3">
      <c r="A222" t="s">
        <v>21</v>
      </c>
      <c r="B222">
        <v>2023</v>
      </c>
      <c r="C222">
        <v>15.841316091435351</v>
      </c>
      <c r="D222">
        <v>10.98</v>
      </c>
    </row>
    <row r="223" spans="1:4" x14ac:dyDescent="0.3">
      <c r="A223" t="s">
        <v>21</v>
      </c>
      <c r="B223">
        <v>2024</v>
      </c>
      <c r="C223">
        <v>10.358392137401809</v>
      </c>
      <c r="D223">
        <v>13.17</v>
      </c>
    </row>
    <row r="224" spans="1:4" x14ac:dyDescent="0.3">
      <c r="A224" t="s">
        <v>22</v>
      </c>
    </row>
    <row r="225" spans="1:4" x14ac:dyDescent="0.3">
      <c r="A225" t="s">
        <v>22</v>
      </c>
      <c r="B225">
        <v>2013</v>
      </c>
      <c r="C225">
        <v>21.909064126485319</v>
      </c>
    </row>
    <row r="226" spans="1:4" x14ac:dyDescent="0.3">
      <c r="A226" t="s">
        <v>22</v>
      </c>
      <c r="B226">
        <v>2014</v>
      </c>
      <c r="C226">
        <v>10.557414609146541</v>
      </c>
    </row>
    <row r="227" spans="1:4" x14ac:dyDescent="0.3">
      <c r="A227" t="s">
        <v>22</v>
      </c>
      <c r="B227">
        <v>2015</v>
      </c>
      <c r="C227">
        <v>4.2388984710731723</v>
      </c>
    </row>
    <row r="228" spans="1:4" x14ac:dyDescent="0.3">
      <c r="A228" t="s">
        <v>22</v>
      </c>
      <c r="B228">
        <v>2016</v>
      </c>
      <c r="C228">
        <v>-2.1847439269689</v>
      </c>
    </row>
    <row r="229" spans="1:4" x14ac:dyDescent="0.3">
      <c r="A229" t="s">
        <v>22</v>
      </c>
      <c r="B229">
        <v>2017</v>
      </c>
      <c r="C229">
        <v>1.4047979252215259</v>
      </c>
    </row>
    <row r="230" spans="1:4" x14ac:dyDescent="0.3">
      <c r="A230" t="s">
        <v>22</v>
      </c>
      <c r="B230">
        <v>2018</v>
      </c>
      <c r="C230">
        <v>1.3545693520952531</v>
      </c>
      <c r="D230">
        <v>-10.029999999999999</v>
      </c>
    </row>
    <row r="231" spans="1:4" x14ac:dyDescent="0.3">
      <c r="A231" t="s">
        <v>22</v>
      </c>
      <c r="B231">
        <v>2019</v>
      </c>
      <c r="C231">
        <v>3.2422987315557861</v>
      </c>
      <c r="D231">
        <v>-5.1100000000000003</v>
      </c>
    </row>
    <row r="232" spans="1:4" x14ac:dyDescent="0.3">
      <c r="A232" t="s">
        <v>22</v>
      </c>
      <c r="B232">
        <v>2020</v>
      </c>
      <c r="C232">
        <v>-5.1221214235868802</v>
      </c>
      <c r="D232">
        <v>-7.28</v>
      </c>
    </row>
    <row r="233" spans="1:4" x14ac:dyDescent="0.3">
      <c r="A233" t="s">
        <v>22</v>
      </c>
      <c r="B233">
        <v>2021</v>
      </c>
      <c r="C233">
        <v>-10.391409767925181</v>
      </c>
      <c r="D233">
        <v>-7.46</v>
      </c>
    </row>
    <row r="234" spans="1:4" x14ac:dyDescent="0.3">
      <c r="A234" t="s">
        <v>22</v>
      </c>
      <c r="B234">
        <v>2022</v>
      </c>
      <c r="C234">
        <v>1.6788651626046931</v>
      </c>
      <c r="D234">
        <v>-5.71</v>
      </c>
    </row>
    <row r="235" spans="1:4" x14ac:dyDescent="0.3">
      <c r="A235" t="s">
        <v>22</v>
      </c>
      <c r="B235">
        <v>2023</v>
      </c>
      <c r="C235">
        <v>2.6827467388629089</v>
      </c>
      <c r="D235">
        <v>-4.1100000000000003</v>
      </c>
    </row>
    <row r="236" spans="1:4" x14ac:dyDescent="0.3">
      <c r="A236" t="s">
        <v>22</v>
      </c>
      <c r="B236">
        <v>2024</v>
      </c>
      <c r="C236">
        <v>1.1539405843358701</v>
      </c>
      <c r="D236">
        <v>-4.7300000000000004</v>
      </c>
    </row>
    <row r="237" spans="1:4" x14ac:dyDescent="0.3">
      <c r="A237" t="s">
        <v>23</v>
      </c>
    </row>
    <row r="238" spans="1:4" x14ac:dyDescent="0.3">
      <c r="A238" t="s">
        <v>23</v>
      </c>
      <c r="B238">
        <v>2012</v>
      </c>
      <c r="C238">
        <v>17.190023326753991</v>
      </c>
    </row>
    <row r="239" spans="1:4" x14ac:dyDescent="0.3">
      <c r="A239" t="s">
        <v>23</v>
      </c>
      <c r="B239">
        <v>2013</v>
      </c>
      <c r="C239">
        <v>14.06101048617731</v>
      </c>
    </row>
    <row r="240" spans="1:4" x14ac:dyDescent="0.3">
      <c r="A240" t="s">
        <v>23</v>
      </c>
      <c r="B240">
        <v>2015</v>
      </c>
      <c r="C240">
        <v>18.21151490404247</v>
      </c>
    </row>
    <row r="241" spans="1:4" x14ac:dyDescent="0.3">
      <c r="A241" t="s">
        <v>23</v>
      </c>
      <c r="B241">
        <v>2016</v>
      </c>
      <c r="C241">
        <v>16.05663345568956</v>
      </c>
    </row>
    <row r="242" spans="1:4" x14ac:dyDescent="0.3">
      <c r="A242" t="s">
        <v>23</v>
      </c>
      <c r="B242">
        <v>2017</v>
      </c>
      <c r="C242">
        <v>19.786339356745081</v>
      </c>
      <c r="D242">
        <v>3.8</v>
      </c>
    </row>
    <row r="243" spans="1:4" x14ac:dyDescent="0.3">
      <c r="A243" t="s">
        <v>23</v>
      </c>
      <c r="B243">
        <v>2018</v>
      </c>
      <c r="C243">
        <v>13.736098587315899</v>
      </c>
      <c r="D243">
        <v>5.95</v>
      </c>
    </row>
    <row r="244" spans="1:4" x14ac:dyDescent="0.3">
      <c r="A244" t="s">
        <v>23</v>
      </c>
      <c r="B244">
        <v>2019</v>
      </c>
      <c r="C244">
        <v>17.50849128958037</v>
      </c>
    </row>
    <row r="245" spans="1:4" x14ac:dyDescent="0.3">
      <c r="A245" t="s">
        <v>23</v>
      </c>
      <c r="B245">
        <v>2020</v>
      </c>
      <c r="C245">
        <v>7.0118662351672061</v>
      </c>
      <c r="D245">
        <v>-4.0199999999999996</v>
      </c>
    </row>
    <row r="246" spans="1:4" x14ac:dyDescent="0.3">
      <c r="A246" t="s">
        <v>23</v>
      </c>
      <c r="B246">
        <v>2021</v>
      </c>
      <c r="C246">
        <v>4.9068512674335736</v>
      </c>
      <c r="D246">
        <v>0.04</v>
      </c>
    </row>
    <row r="247" spans="1:4" x14ac:dyDescent="0.3">
      <c r="A247" t="s">
        <v>23</v>
      </c>
      <c r="B247">
        <v>2022</v>
      </c>
      <c r="C247">
        <v>11.386601796407181</v>
      </c>
      <c r="D247">
        <v>2.46</v>
      </c>
    </row>
    <row r="248" spans="1:4" x14ac:dyDescent="0.3">
      <c r="A248" t="s">
        <v>23</v>
      </c>
      <c r="B248">
        <v>2023</v>
      </c>
      <c r="C248">
        <v>12.930173431399259</v>
      </c>
      <c r="D248">
        <v>5.01</v>
      </c>
    </row>
    <row r="249" spans="1:4" x14ac:dyDescent="0.3">
      <c r="A249" t="s">
        <v>23</v>
      </c>
      <c r="B249">
        <v>2024</v>
      </c>
      <c r="C249">
        <v>20.639920424403179</v>
      </c>
      <c r="D249">
        <v>6.72</v>
      </c>
    </row>
    <row r="250" spans="1:4" x14ac:dyDescent="0.3">
      <c r="A250" t="s">
        <v>24</v>
      </c>
    </row>
    <row r="251" spans="1:4" x14ac:dyDescent="0.3">
      <c r="A251" t="s">
        <v>24</v>
      </c>
      <c r="B251">
        <v>2013</v>
      </c>
      <c r="C251">
        <v>11.540983606557379</v>
      </c>
    </row>
    <row r="252" spans="1:4" x14ac:dyDescent="0.3">
      <c r="A252" t="s">
        <v>24</v>
      </c>
      <c r="B252">
        <v>2014</v>
      </c>
      <c r="C252">
        <v>20.848765432098769</v>
      </c>
    </row>
    <row r="253" spans="1:4" x14ac:dyDescent="0.3">
      <c r="A253" t="s">
        <v>24</v>
      </c>
      <c r="B253">
        <v>2015</v>
      </c>
      <c r="C253">
        <v>22.52459888307774</v>
      </c>
    </row>
    <row r="254" spans="1:4" x14ac:dyDescent="0.3">
      <c r="A254" t="s">
        <v>24</v>
      </c>
      <c r="B254">
        <v>2016</v>
      </c>
      <c r="C254">
        <v>29.103403612290421</v>
      </c>
    </row>
    <row r="255" spans="1:4" x14ac:dyDescent="0.3">
      <c r="A255" t="s">
        <v>24</v>
      </c>
      <c r="B255">
        <v>2017</v>
      </c>
      <c r="C255">
        <v>30.847853596807159</v>
      </c>
    </row>
    <row r="256" spans="1:4" x14ac:dyDescent="0.3">
      <c r="A256" t="s">
        <v>24</v>
      </c>
      <c r="B256">
        <v>2018</v>
      </c>
      <c r="C256">
        <v>26.74021682733008</v>
      </c>
      <c r="D256">
        <v>-0.52</v>
      </c>
    </row>
    <row r="257" spans="1:4" x14ac:dyDescent="0.3">
      <c r="A257" t="s">
        <v>24</v>
      </c>
      <c r="B257">
        <v>2019</v>
      </c>
      <c r="C257">
        <v>21.999226106023471</v>
      </c>
      <c r="D257">
        <v>2.44</v>
      </c>
    </row>
    <row r="258" spans="1:4" x14ac:dyDescent="0.3">
      <c r="A258" t="s">
        <v>24</v>
      </c>
      <c r="B258">
        <v>2020</v>
      </c>
      <c r="C258">
        <v>10.03503777510128</v>
      </c>
      <c r="D258">
        <v>3.24</v>
      </c>
    </row>
    <row r="259" spans="1:4" x14ac:dyDescent="0.3">
      <c r="A259" t="s">
        <v>24</v>
      </c>
      <c r="B259">
        <v>2021</v>
      </c>
      <c r="C259">
        <v>32.340584445896752</v>
      </c>
      <c r="D259">
        <v>4.1500000000000004</v>
      </c>
    </row>
    <row r="260" spans="1:4" x14ac:dyDescent="0.3">
      <c r="A260" t="s">
        <v>24</v>
      </c>
      <c r="B260">
        <v>2022</v>
      </c>
      <c r="C260">
        <v>22.506502263751081</v>
      </c>
      <c r="D260">
        <v>11.5</v>
      </c>
    </row>
    <row r="261" spans="1:4" x14ac:dyDescent="0.3">
      <c r="A261" t="s">
        <v>24</v>
      </c>
      <c r="B261">
        <v>2023</v>
      </c>
      <c r="C261">
        <v>3.9815403011845589</v>
      </c>
      <c r="D261">
        <v>14.94</v>
      </c>
    </row>
    <row r="262" spans="1:4" x14ac:dyDescent="0.3">
      <c r="A262" t="s">
        <v>24</v>
      </c>
      <c r="B262">
        <v>2024</v>
      </c>
      <c r="C262">
        <v>35.511337343822312</v>
      </c>
      <c r="D262">
        <v>8.48</v>
      </c>
    </row>
    <row r="263" spans="1:4" x14ac:dyDescent="0.3">
      <c r="A263" t="s">
        <v>25</v>
      </c>
    </row>
    <row r="264" spans="1:4" x14ac:dyDescent="0.3">
      <c r="A264" t="s">
        <v>25</v>
      </c>
      <c r="B264">
        <v>2013</v>
      </c>
      <c r="C264">
        <v>46.59498207885305</v>
      </c>
    </row>
    <row r="265" spans="1:4" x14ac:dyDescent="0.3">
      <c r="A265" t="s">
        <v>25</v>
      </c>
      <c r="B265">
        <v>2014</v>
      </c>
      <c r="C265">
        <v>49.498746867167917</v>
      </c>
    </row>
    <row r="266" spans="1:4" x14ac:dyDescent="0.3">
      <c r="A266" t="s">
        <v>25</v>
      </c>
      <c r="B266">
        <v>2015</v>
      </c>
      <c r="C266">
        <v>55.341365461847388</v>
      </c>
    </row>
    <row r="267" spans="1:4" x14ac:dyDescent="0.3">
      <c r="A267" t="s">
        <v>25</v>
      </c>
      <c r="B267">
        <v>2016</v>
      </c>
      <c r="C267">
        <v>39.435946462715101</v>
      </c>
    </row>
    <row r="268" spans="1:4" x14ac:dyDescent="0.3">
      <c r="A268" t="s">
        <v>25</v>
      </c>
      <c r="B268">
        <v>2017</v>
      </c>
      <c r="C268">
        <v>32.826409495548972</v>
      </c>
    </row>
    <row r="269" spans="1:4" x14ac:dyDescent="0.3">
      <c r="A269" t="s">
        <v>25</v>
      </c>
      <c r="B269">
        <v>2018</v>
      </c>
      <c r="C269">
        <v>29.477392836171461</v>
      </c>
      <c r="D269">
        <v>9.9</v>
      </c>
    </row>
    <row r="270" spans="1:4" x14ac:dyDescent="0.3">
      <c r="A270" t="s">
        <v>25</v>
      </c>
      <c r="B270">
        <v>2019</v>
      </c>
      <c r="C270">
        <v>27.157300728897251</v>
      </c>
      <c r="D270">
        <v>9.84</v>
      </c>
    </row>
    <row r="271" spans="1:4" x14ac:dyDescent="0.3">
      <c r="A271" t="s">
        <v>25</v>
      </c>
      <c r="B271">
        <v>2020</v>
      </c>
      <c r="C271">
        <v>31.660231660231659</v>
      </c>
      <c r="D271">
        <v>8.1</v>
      </c>
    </row>
    <row r="272" spans="1:4" x14ac:dyDescent="0.3">
      <c r="A272" t="s">
        <v>25</v>
      </c>
      <c r="B272">
        <v>2021</v>
      </c>
      <c r="C272">
        <v>52.17023675310034</v>
      </c>
      <c r="D272">
        <v>9.36</v>
      </c>
    </row>
    <row r="273" spans="1:4" x14ac:dyDescent="0.3">
      <c r="A273" t="s">
        <v>25</v>
      </c>
      <c r="B273">
        <v>2022</v>
      </c>
      <c r="C273">
        <v>59.265050820953867</v>
      </c>
      <c r="D273">
        <v>9.32</v>
      </c>
    </row>
    <row r="274" spans="1:4" x14ac:dyDescent="0.3">
      <c r="A274" t="s">
        <v>25</v>
      </c>
      <c r="B274">
        <v>2023</v>
      </c>
      <c r="C274">
        <v>65.534804753820026</v>
      </c>
      <c r="D274">
        <v>10.46</v>
      </c>
    </row>
    <row r="275" spans="1:4" x14ac:dyDescent="0.3">
      <c r="A275" t="s">
        <v>25</v>
      </c>
      <c r="B275">
        <v>2024</v>
      </c>
      <c r="C275">
        <v>54.148693225069778</v>
      </c>
      <c r="D275">
        <v>8.69</v>
      </c>
    </row>
    <row r="276" spans="1:4" x14ac:dyDescent="0.3">
      <c r="A276" t="s">
        <v>26</v>
      </c>
    </row>
    <row r="277" spans="1:4" x14ac:dyDescent="0.3">
      <c r="A277" t="s">
        <v>26</v>
      </c>
      <c r="B277">
        <v>2013</v>
      </c>
      <c r="C277">
        <v>11.896250397203691</v>
      </c>
    </row>
    <row r="278" spans="1:4" x14ac:dyDescent="0.3">
      <c r="A278" t="s">
        <v>26</v>
      </c>
      <c r="B278">
        <v>2014</v>
      </c>
      <c r="C278">
        <v>8.8547189819724288</v>
      </c>
    </row>
    <row r="279" spans="1:4" x14ac:dyDescent="0.3">
      <c r="A279" t="s">
        <v>26</v>
      </c>
      <c r="B279">
        <v>2015</v>
      </c>
      <c r="C279">
        <v>9.0206820140342252</v>
      </c>
    </row>
    <row r="280" spans="1:4" x14ac:dyDescent="0.3">
      <c r="A280" t="s">
        <v>26</v>
      </c>
      <c r="B280">
        <v>2016</v>
      </c>
      <c r="C280">
        <v>-7.8216599814871959</v>
      </c>
    </row>
    <row r="281" spans="1:4" x14ac:dyDescent="0.3">
      <c r="A281" t="s">
        <v>26</v>
      </c>
      <c r="B281">
        <v>2017</v>
      </c>
      <c r="C281">
        <v>4.0680409398875597</v>
      </c>
    </row>
    <row r="282" spans="1:4" x14ac:dyDescent="0.3">
      <c r="A282" t="s">
        <v>26</v>
      </c>
      <c r="B282">
        <v>2018</v>
      </c>
      <c r="C282">
        <v>-10.496788356776969</v>
      </c>
      <c r="D282">
        <v>3.95</v>
      </c>
    </row>
    <row r="283" spans="1:4" x14ac:dyDescent="0.3">
      <c r="A283" t="s">
        <v>26</v>
      </c>
      <c r="B283">
        <v>2019</v>
      </c>
      <c r="C283">
        <v>1.846692668948499</v>
      </c>
      <c r="D283">
        <v>3.92</v>
      </c>
    </row>
    <row r="284" spans="1:4" x14ac:dyDescent="0.3">
      <c r="A284" t="s">
        <v>26</v>
      </c>
      <c r="B284">
        <v>2020</v>
      </c>
      <c r="C284">
        <v>-4.661942435567636</v>
      </c>
      <c r="D284">
        <v>2.58</v>
      </c>
    </row>
    <row r="285" spans="1:4" x14ac:dyDescent="0.3">
      <c r="A285" t="s">
        <v>26</v>
      </c>
      <c r="B285">
        <v>2021</v>
      </c>
      <c r="C285">
        <v>4.73802275276398</v>
      </c>
      <c r="D285">
        <v>9.7899999999999991</v>
      </c>
    </row>
    <row r="286" spans="1:4" x14ac:dyDescent="0.3">
      <c r="A286" t="s">
        <v>26</v>
      </c>
      <c r="B286">
        <v>2022</v>
      </c>
      <c r="C286">
        <v>8.8020468546761759</v>
      </c>
      <c r="D286">
        <v>11.24</v>
      </c>
    </row>
    <row r="287" spans="1:4" x14ac:dyDescent="0.3">
      <c r="A287" t="s">
        <v>26</v>
      </c>
      <c r="B287">
        <v>2023</v>
      </c>
      <c r="C287">
        <v>14.53480923463243</v>
      </c>
      <c r="D287">
        <v>15.74</v>
      </c>
    </row>
    <row r="288" spans="1:4" x14ac:dyDescent="0.3">
      <c r="A288" t="s">
        <v>26</v>
      </c>
      <c r="B288">
        <v>2024</v>
      </c>
      <c r="C288">
        <v>16.716051794688109</v>
      </c>
      <c r="D288">
        <v>18.18</v>
      </c>
    </row>
    <row r="289" spans="1:4" x14ac:dyDescent="0.3">
      <c r="A289" t="s">
        <v>27</v>
      </c>
    </row>
    <row r="290" spans="1:4" x14ac:dyDescent="0.3">
      <c r="A290" t="s">
        <v>27</v>
      </c>
      <c r="B290">
        <v>2013</v>
      </c>
      <c r="C290">
        <v>15.77868852459016</v>
      </c>
    </row>
    <row r="291" spans="1:4" x14ac:dyDescent="0.3">
      <c r="A291" t="s">
        <v>27</v>
      </c>
      <c r="B291">
        <v>2014</v>
      </c>
      <c r="C291">
        <v>16.090948841276781</v>
      </c>
    </row>
    <row r="292" spans="1:4" x14ac:dyDescent="0.3">
      <c r="A292" t="s">
        <v>27</v>
      </c>
      <c r="B292">
        <v>2015</v>
      </c>
      <c r="C292">
        <v>16.598130841121499</v>
      </c>
    </row>
    <row r="293" spans="1:4" x14ac:dyDescent="0.3">
      <c r="A293" t="s">
        <v>27</v>
      </c>
      <c r="B293">
        <v>2016</v>
      </c>
      <c r="C293">
        <v>15.667574931880109</v>
      </c>
    </row>
    <row r="294" spans="1:4" x14ac:dyDescent="0.3">
      <c r="A294" t="s">
        <v>27</v>
      </c>
      <c r="B294">
        <v>2017</v>
      </c>
      <c r="C294">
        <v>16.705444392740809</v>
      </c>
    </row>
    <row r="295" spans="1:4" x14ac:dyDescent="0.3">
      <c r="A295" t="s">
        <v>27</v>
      </c>
      <c r="B295">
        <v>2018</v>
      </c>
      <c r="C295">
        <v>17.912195121951221</v>
      </c>
      <c r="D295">
        <v>16.68</v>
      </c>
    </row>
    <row r="296" spans="1:4" x14ac:dyDescent="0.3">
      <c r="A296" t="s">
        <v>27</v>
      </c>
      <c r="B296">
        <v>2019</v>
      </c>
      <c r="C296">
        <v>19.28157216494845</v>
      </c>
      <c r="D296">
        <v>16.739999999999998</v>
      </c>
    </row>
    <row r="297" spans="1:4" x14ac:dyDescent="0.3">
      <c r="A297" t="s">
        <v>27</v>
      </c>
      <c r="B297">
        <v>2020</v>
      </c>
      <c r="C297">
        <v>12.853658536585369</v>
      </c>
      <c r="D297">
        <v>18.59</v>
      </c>
    </row>
    <row r="298" spans="1:4" x14ac:dyDescent="0.3">
      <c r="A298" t="s">
        <v>27</v>
      </c>
      <c r="B298">
        <v>2021</v>
      </c>
      <c r="C298">
        <v>15.84375</v>
      </c>
      <c r="D298">
        <v>17.86</v>
      </c>
    </row>
    <row r="299" spans="1:4" x14ac:dyDescent="0.3">
      <c r="A299" t="s">
        <v>27</v>
      </c>
      <c r="B299">
        <v>2022</v>
      </c>
      <c r="C299">
        <v>18.302319653326531</v>
      </c>
      <c r="D299">
        <v>16.670000000000002</v>
      </c>
    </row>
    <row r="300" spans="1:4" x14ac:dyDescent="0.3">
      <c r="A300" t="s">
        <v>27</v>
      </c>
      <c r="B300">
        <v>2023</v>
      </c>
      <c r="C300">
        <v>18.576606719643109</v>
      </c>
      <c r="D300">
        <v>18.309999999999999</v>
      </c>
    </row>
    <row r="301" spans="1:4" x14ac:dyDescent="0.3">
      <c r="A301" t="s">
        <v>27</v>
      </c>
      <c r="B301">
        <v>2024</v>
      </c>
      <c r="C301">
        <v>17.45521359669269</v>
      </c>
      <c r="D301">
        <v>21.94</v>
      </c>
    </row>
    <row r="302" spans="1:4" x14ac:dyDescent="0.3">
      <c r="A302" t="s">
        <v>28</v>
      </c>
    </row>
    <row r="303" spans="1:4" x14ac:dyDescent="0.3">
      <c r="A303" t="s">
        <v>28</v>
      </c>
      <c r="B303">
        <v>2013</v>
      </c>
      <c r="C303">
        <v>17.130502272979271</v>
      </c>
    </row>
    <row r="304" spans="1:4" x14ac:dyDescent="0.3">
      <c r="A304" t="s">
        <v>28</v>
      </c>
      <c r="B304">
        <v>2014</v>
      </c>
      <c r="C304">
        <v>13.968759327430099</v>
      </c>
    </row>
    <row r="305" spans="1:4" x14ac:dyDescent="0.3">
      <c r="A305" t="s">
        <v>28</v>
      </c>
      <c r="B305">
        <v>2015</v>
      </c>
      <c r="C305">
        <v>11.377522680985001</v>
      </c>
    </row>
    <row r="306" spans="1:4" x14ac:dyDescent="0.3">
      <c r="A306" t="s">
        <v>28</v>
      </c>
      <c r="B306">
        <v>2016</v>
      </c>
      <c r="C306">
        <v>12.008335504037509</v>
      </c>
    </row>
    <row r="307" spans="1:4" x14ac:dyDescent="0.3">
      <c r="A307" t="s">
        <v>28</v>
      </c>
      <c r="B307">
        <v>2017</v>
      </c>
      <c r="C307">
        <v>8.250956632653061</v>
      </c>
    </row>
    <row r="308" spans="1:4" x14ac:dyDescent="0.3">
      <c r="A308" t="s">
        <v>28</v>
      </c>
      <c r="B308">
        <v>2018</v>
      </c>
      <c r="C308">
        <v>9.9585353854803582</v>
      </c>
      <c r="D308">
        <v>12.86</v>
      </c>
    </row>
    <row r="309" spans="1:4" x14ac:dyDescent="0.3">
      <c r="A309" t="s">
        <v>28</v>
      </c>
      <c r="B309">
        <v>2019</v>
      </c>
      <c r="C309">
        <v>9.9387156941113766</v>
      </c>
      <c r="D309">
        <v>9.9700000000000006</v>
      </c>
    </row>
    <row r="310" spans="1:4" x14ac:dyDescent="0.3">
      <c r="A310" t="s">
        <v>28</v>
      </c>
      <c r="B310">
        <v>2020</v>
      </c>
      <c r="C310">
        <v>9.5159550846920009</v>
      </c>
      <c r="D310">
        <v>8.59</v>
      </c>
    </row>
    <row r="311" spans="1:4" x14ac:dyDescent="0.3">
      <c r="A311" t="s">
        <v>28</v>
      </c>
      <c r="B311">
        <v>2021</v>
      </c>
      <c r="C311">
        <v>13.036123540325219</v>
      </c>
      <c r="D311">
        <v>6.8</v>
      </c>
    </row>
    <row r="312" spans="1:4" x14ac:dyDescent="0.3">
      <c r="A312" t="s">
        <v>28</v>
      </c>
      <c r="B312">
        <v>2022</v>
      </c>
      <c r="C312">
        <v>12.221102634230601</v>
      </c>
      <c r="D312">
        <v>8.6199999999999992</v>
      </c>
    </row>
    <row r="313" spans="1:4" x14ac:dyDescent="0.3">
      <c r="A313" t="s">
        <v>28</v>
      </c>
      <c r="B313">
        <v>2023</v>
      </c>
      <c r="C313">
        <v>12.103216986371599</v>
      </c>
      <c r="D313">
        <v>8.4700000000000006</v>
      </c>
    </row>
    <row r="314" spans="1:4" x14ac:dyDescent="0.3">
      <c r="A314" t="s">
        <v>28</v>
      </c>
      <c r="B314">
        <v>2024</v>
      </c>
      <c r="C314">
        <v>15.55455702838313</v>
      </c>
      <c r="D314">
        <v>9.51</v>
      </c>
    </row>
    <row r="315" spans="1:4" x14ac:dyDescent="0.3">
      <c r="A315" t="s">
        <v>29</v>
      </c>
    </row>
    <row r="316" spans="1:4" x14ac:dyDescent="0.3">
      <c r="A316" t="s">
        <v>29</v>
      </c>
      <c r="B316">
        <v>2013</v>
      </c>
      <c r="C316">
        <v>35.806238653243113</v>
      </c>
    </row>
    <row r="317" spans="1:4" x14ac:dyDescent="0.3">
      <c r="A317" t="s">
        <v>29</v>
      </c>
      <c r="B317">
        <v>2014</v>
      </c>
      <c r="C317">
        <v>35.638147344590131</v>
      </c>
    </row>
    <row r="318" spans="1:4" x14ac:dyDescent="0.3">
      <c r="A318" t="s">
        <v>29</v>
      </c>
      <c r="B318">
        <v>2015</v>
      </c>
      <c r="C318">
        <v>34.017297350878493</v>
      </c>
    </row>
    <row r="319" spans="1:4" x14ac:dyDescent="0.3">
      <c r="A319" t="s">
        <v>29</v>
      </c>
      <c r="B319">
        <v>2016</v>
      </c>
      <c r="C319">
        <v>40.958286682169209</v>
      </c>
    </row>
    <row r="320" spans="1:4" x14ac:dyDescent="0.3">
      <c r="A320" t="s">
        <v>29</v>
      </c>
      <c r="B320">
        <v>2017</v>
      </c>
      <c r="C320">
        <v>37.849743045925443</v>
      </c>
    </row>
    <row r="321" spans="1:4" x14ac:dyDescent="0.3">
      <c r="A321" t="s">
        <v>29</v>
      </c>
      <c r="B321">
        <v>2018</v>
      </c>
      <c r="C321">
        <v>34.879571810883142</v>
      </c>
      <c r="D321">
        <v>4.53</v>
      </c>
    </row>
    <row r="322" spans="1:4" x14ac:dyDescent="0.3">
      <c r="A322" t="s">
        <v>29</v>
      </c>
      <c r="B322">
        <v>2019</v>
      </c>
      <c r="C322">
        <v>66.013986013986013</v>
      </c>
      <c r="D322">
        <v>7.12</v>
      </c>
    </row>
    <row r="323" spans="1:4" x14ac:dyDescent="0.3">
      <c r="A323" t="s">
        <v>29</v>
      </c>
      <c r="B323">
        <v>2020</v>
      </c>
      <c r="C323">
        <v>51.932705165282833</v>
      </c>
      <c r="D323">
        <v>5.33</v>
      </c>
    </row>
    <row r="324" spans="1:4" x14ac:dyDescent="0.3">
      <c r="A324" t="s">
        <v>29</v>
      </c>
      <c r="B324">
        <v>2021</v>
      </c>
      <c r="C324">
        <v>34.782846815269181</v>
      </c>
      <c r="D324">
        <v>2.95</v>
      </c>
    </row>
    <row r="325" spans="1:4" x14ac:dyDescent="0.3">
      <c r="A325" t="s">
        <v>29</v>
      </c>
      <c r="B325">
        <v>2022</v>
      </c>
      <c r="C325">
        <v>40.27999907285075</v>
      </c>
      <c r="D325">
        <v>7.02</v>
      </c>
    </row>
    <row r="326" spans="1:4" x14ac:dyDescent="0.3">
      <c r="A326" t="s">
        <v>29</v>
      </c>
      <c r="B326">
        <v>2023</v>
      </c>
      <c r="C326">
        <v>52.139112141084432</v>
      </c>
      <c r="D326">
        <v>10.15</v>
      </c>
    </row>
    <row r="327" spans="1:4" x14ac:dyDescent="0.3">
      <c r="A327" t="s">
        <v>29</v>
      </c>
      <c r="B327">
        <v>2024</v>
      </c>
      <c r="C327">
        <v>45.169829566058262</v>
      </c>
      <c r="D327">
        <v>7.4</v>
      </c>
    </row>
    <row r="328" spans="1:4" x14ac:dyDescent="0.3">
      <c r="A328" t="s">
        <v>30</v>
      </c>
    </row>
    <row r="329" spans="1:4" x14ac:dyDescent="0.3">
      <c r="A329" t="s">
        <v>30</v>
      </c>
      <c r="B329">
        <v>2013</v>
      </c>
      <c r="C329">
        <v>36.563245823389018</v>
      </c>
    </row>
    <row r="330" spans="1:4" x14ac:dyDescent="0.3">
      <c r="A330" t="s">
        <v>30</v>
      </c>
      <c r="B330">
        <v>2014</v>
      </c>
      <c r="C330">
        <v>34.487951807228917</v>
      </c>
    </row>
    <row r="331" spans="1:4" x14ac:dyDescent="0.3">
      <c r="A331" t="s">
        <v>30</v>
      </c>
      <c r="B331">
        <v>2015</v>
      </c>
      <c r="C331">
        <v>31.842576028622538</v>
      </c>
    </row>
    <row r="332" spans="1:4" x14ac:dyDescent="0.3">
      <c r="A332" t="s">
        <v>30</v>
      </c>
      <c r="B332">
        <v>2016</v>
      </c>
      <c r="C332">
        <v>30.06473267801487</v>
      </c>
    </row>
    <row r="333" spans="1:4" x14ac:dyDescent="0.3">
      <c r="A333" t="s">
        <v>30</v>
      </c>
      <c r="B333">
        <v>2017</v>
      </c>
      <c r="C333">
        <v>26.40808747678977</v>
      </c>
    </row>
    <row r="334" spans="1:4" x14ac:dyDescent="0.3">
      <c r="A334" t="s">
        <v>30</v>
      </c>
      <c r="B334">
        <v>2018</v>
      </c>
      <c r="C334">
        <v>23.799509288468279</v>
      </c>
      <c r="D334">
        <v>4.6900000000000004</v>
      </c>
    </row>
    <row r="335" spans="1:4" x14ac:dyDescent="0.3">
      <c r="A335" t="s">
        <v>30</v>
      </c>
      <c r="B335">
        <v>2019</v>
      </c>
      <c r="C335">
        <v>25.67471590909091</v>
      </c>
      <c r="D335">
        <v>3.82</v>
      </c>
    </row>
    <row r="336" spans="1:4" x14ac:dyDescent="0.3">
      <c r="A336" t="s">
        <v>30</v>
      </c>
      <c r="B336">
        <v>2020</v>
      </c>
      <c r="C336">
        <v>21.91946715107478</v>
      </c>
      <c r="D336">
        <v>2.19</v>
      </c>
    </row>
    <row r="337" spans="1:4" x14ac:dyDescent="0.3">
      <c r="A337" t="s">
        <v>30</v>
      </c>
      <c r="B337">
        <v>2021</v>
      </c>
      <c r="C337">
        <v>22.11638830897704</v>
      </c>
      <c r="D337">
        <v>4.21</v>
      </c>
    </row>
    <row r="338" spans="1:4" x14ac:dyDescent="0.3">
      <c r="A338" t="s">
        <v>30</v>
      </c>
      <c r="B338">
        <v>2022</v>
      </c>
      <c r="C338">
        <v>20.782629444046769</v>
      </c>
      <c r="D338">
        <v>7.42</v>
      </c>
    </row>
    <row r="339" spans="1:4" x14ac:dyDescent="0.3">
      <c r="A339" t="s">
        <v>30</v>
      </c>
      <c r="B339">
        <v>2023</v>
      </c>
      <c r="C339">
        <v>18.956870611835509</v>
      </c>
      <c r="D339">
        <v>8.35</v>
      </c>
    </row>
    <row r="340" spans="1:4" x14ac:dyDescent="0.3">
      <c r="A340" t="s">
        <v>30</v>
      </c>
      <c r="B340">
        <v>2024</v>
      </c>
      <c r="C340">
        <v>18.355969997972839</v>
      </c>
      <c r="D340">
        <v>7.81</v>
      </c>
    </row>
    <row r="341" spans="1:4" x14ac:dyDescent="0.3">
      <c r="A341" t="s">
        <v>31</v>
      </c>
    </row>
    <row r="342" spans="1:4" x14ac:dyDescent="0.3">
      <c r="A342" t="s">
        <v>31</v>
      </c>
      <c r="B342">
        <v>2013</v>
      </c>
      <c r="C342">
        <v>24.070371851259491</v>
      </c>
    </row>
    <row r="343" spans="1:4" x14ac:dyDescent="0.3">
      <c r="A343" t="s">
        <v>31</v>
      </c>
      <c r="B343">
        <v>2014</v>
      </c>
      <c r="C343">
        <v>26.079622132253711</v>
      </c>
    </row>
    <row r="344" spans="1:4" x14ac:dyDescent="0.3">
      <c r="A344" t="s">
        <v>31</v>
      </c>
      <c r="B344">
        <v>2015</v>
      </c>
      <c r="C344">
        <v>24.370709382151031</v>
      </c>
    </row>
    <row r="345" spans="1:4" x14ac:dyDescent="0.3">
      <c r="A345" t="s">
        <v>31</v>
      </c>
      <c r="B345">
        <v>2016</v>
      </c>
      <c r="C345">
        <v>26.228744467738181</v>
      </c>
    </row>
    <row r="346" spans="1:4" x14ac:dyDescent="0.3">
      <c r="A346" t="s">
        <v>31</v>
      </c>
      <c r="B346">
        <v>2017</v>
      </c>
      <c r="C346">
        <v>19.787194325182011</v>
      </c>
    </row>
    <row r="347" spans="1:4" x14ac:dyDescent="0.3">
      <c r="A347" t="s">
        <v>31</v>
      </c>
      <c r="B347">
        <v>2018</v>
      </c>
      <c r="C347">
        <v>14.80168776371308</v>
      </c>
      <c r="D347">
        <v>12.65</v>
      </c>
    </row>
    <row r="348" spans="1:4" x14ac:dyDescent="0.3">
      <c r="A348" t="s">
        <v>31</v>
      </c>
      <c r="B348">
        <v>2019</v>
      </c>
      <c r="C348">
        <v>19.448037947391121</v>
      </c>
      <c r="D348">
        <v>14.33</v>
      </c>
    </row>
    <row r="349" spans="1:4" x14ac:dyDescent="0.3">
      <c r="A349" t="s">
        <v>31</v>
      </c>
      <c r="B349">
        <v>2020</v>
      </c>
      <c r="C349">
        <v>18.837209302325579</v>
      </c>
      <c r="D349">
        <v>11.61</v>
      </c>
    </row>
    <row r="350" spans="1:4" x14ac:dyDescent="0.3">
      <c r="A350" t="s">
        <v>31</v>
      </c>
      <c r="B350">
        <v>2021</v>
      </c>
      <c r="C350">
        <v>21.344809037116729</v>
      </c>
      <c r="D350">
        <v>13.04</v>
      </c>
    </row>
    <row r="351" spans="1:4" x14ac:dyDescent="0.3">
      <c r="A351" t="s">
        <v>31</v>
      </c>
      <c r="B351">
        <v>2022</v>
      </c>
      <c r="C351">
        <v>25.238744884038201</v>
      </c>
      <c r="D351">
        <v>17.13</v>
      </c>
    </row>
    <row r="352" spans="1:4" x14ac:dyDescent="0.3">
      <c r="A352" t="s">
        <v>31</v>
      </c>
      <c r="B352">
        <v>2023</v>
      </c>
      <c r="C352">
        <v>14.286833241951911</v>
      </c>
      <c r="D352">
        <v>14.83</v>
      </c>
    </row>
    <row r="353" spans="1:4" x14ac:dyDescent="0.3">
      <c r="A353" t="s">
        <v>31</v>
      </c>
      <c r="B353">
        <v>2024</v>
      </c>
      <c r="C353">
        <v>11.789845995136689</v>
      </c>
      <c r="D353">
        <v>9.66</v>
      </c>
    </row>
    <row r="354" spans="1:4" x14ac:dyDescent="0.3">
      <c r="A354" t="s">
        <v>32</v>
      </c>
    </row>
    <row r="355" spans="1:4" x14ac:dyDescent="0.3">
      <c r="A355" t="s">
        <v>32</v>
      </c>
      <c r="B355">
        <v>2013</v>
      </c>
      <c r="C355">
        <v>2.5924054568774531</v>
      </c>
    </row>
    <row r="356" spans="1:4" x14ac:dyDescent="0.3">
      <c r="A356" t="s">
        <v>32</v>
      </c>
      <c r="B356">
        <v>2014</v>
      </c>
      <c r="C356">
        <v>2.153677678408469</v>
      </c>
    </row>
    <row r="357" spans="1:4" x14ac:dyDescent="0.3">
      <c r="A357" t="s">
        <v>32</v>
      </c>
      <c r="B357">
        <v>2015</v>
      </c>
      <c r="C357">
        <v>1.8524608133289491</v>
      </c>
    </row>
    <row r="358" spans="1:4" x14ac:dyDescent="0.3">
      <c r="A358" t="s">
        <v>32</v>
      </c>
      <c r="B358">
        <v>2016</v>
      </c>
      <c r="C358">
        <v>1.26719016161868</v>
      </c>
    </row>
    <row r="359" spans="1:4" x14ac:dyDescent="0.3">
      <c r="A359" t="s">
        <v>32</v>
      </c>
      <c r="B359">
        <v>2017</v>
      </c>
      <c r="C359">
        <v>2.8812110853375659</v>
      </c>
    </row>
    <row r="360" spans="1:4" x14ac:dyDescent="0.3">
      <c r="A360" t="s">
        <v>32</v>
      </c>
      <c r="B360">
        <v>2018</v>
      </c>
      <c r="C360">
        <v>12.678768655659709</v>
      </c>
      <c r="D360">
        <v>-2.91</v>
      </c>
    </row>
    <row r="361" spans="1:4" x14ac:dyDescent="0.3">
      <c r="A361" t="s">
        <v>32</v>
      </c>
      <c r="B361">
        <v>2019</v>
      </c>
      <c r="C361">
        <v>3.913509649749821</v>
      </c>
      <c r="D361">
        <v>0.16</v>
      </c>
    </row>
    <row r="362" spans="1:4" x14ac:dyDescent="0.3">
      <c r="A362" t="s">
        <v>32</v>
      </c>
      <c r="B362">
        <v>2020</v>
      </c>
      <c r="C362">
        <v>-1.712776148866374</v>
      </c>
      <c r="D362">
        <v>-4.4800000000000004</v>
      </c>
    </row>
    <row r="363" spans="1:4" x14ac:dyDescent="0.3">
      <c r="A363" t="s">
        <v>32</v>
      </c>
      <c r="B363">
        <v>2021</v>
      </c>
      <c r="C363">
        <v>3.0641693073789051</v>
      </c>
      <c r="D363">
        <v>-11.42</v>
      </c>
    </row>
    <row r="364" spans="1:4" x14ac:dyDescent="0.3">
      <c r="A364" t="s">
        <v>32</v>
      </c>
      <c r="B364">
        <v>2022</v>
      </c>
      <c r="C364">
        <v>4.1251856333535013</v>
      </c>
      <c r="D364">
        <v>-7.01</v>
      </c>
    </row>
    <row r="365" spans="1:4" x14ac:dyDescent="0.3">
      <c r="A365" t="s">
        <v>32</v>
      </c>
      <c r="B365">
        <v>2023</v>
      </c>
      <c r="C365">
        <v>5.3970865285111582</v>
      </c>
      <c r="D365">
        <v>-3.22</v>
      </c>
    </row>
    <row r="366" spans="1:4" x14ac:dyDescent="0.3">
      <c r="A366" t="s">
        <v>32</v>
      </c>
      <c r="B366">
        <v>2024</v>
      </c>
      <c r="C366">
        <v>6.9082701427810607</v>
      </c>
      <c r="D366">
        <v>-5.14</v>
      </c>
    </row>
    <row r="367" spans="1:4" x14ac:dyDescent="0.3">
      <c r="A367" t="s">
        <v>33</v>
      </c>
    </row>
    <row r="368" spans="1:4" x14ac:dyDescent="0.3">
      <c r="A368" t="s">
        <v>33</v>
      </c>
      <c r="B368">
        <v>2013</v>
      </c>
      <c r="C368">
        <v>11.913814955640049</v>
      </c>
    </row>
    <row r="369" spans="1:4" x14ac:dyDescent="0.3">
      <c r="A369" t="s">
        <v>33</v>
      </c>
      <c r="B369">
        <v>2014</v>
      </c>
      <c r="C369">
        <v>16.84100418410042</v>
      </c>
    </row>
    <row r="370" spans="1:4" x14ac:dyDescent="0.3">
      <c r="A370" t="s">
        <v>33</v>
      </c>
      <c r="B370">
        <v>2015</v>
      </c>
      <c r="C370">
        <v>17.666666666666671</v>
      </c>
    </row>
    <row r="371" spans="1:4" x14ac:dyDescent="0.3">
      <c r="A371" t="s">
        <v>33</v>
      </c>
      <c r="B371">
        <v>2016</v>
      </c>
      <c r="C371">
        <v>21.038790269559499</v>
      </c>
    </row>
    <row r="372" spans="1:4" x14ac:dyDescent="0.3">
      <c r="A372" t="s">
        <v>33</v>
      </c>
      <c r="B372">
        <v>2017</v>
      </c>
      <c r="C372">
        <v>12.46746486205102</v>
      </c>
    </row>
    <row r="373" spans="1:4" x14ac:dyDescent="0.3">
      <c r="A373" t="s">
        <v>33</v>
      </c>
      <c r="B373">
        <v>2018</v>
      </c>
      <c r="C373">
        <v>17.262797172842149</v>
      </c>
      <c r="D373">
        <v>35.090000000000003</v>
      </c>
    </row>
    <row r="374" spans="1:4" x14ac:dyDescent="0.3">
      <c r="A374" t="s">
        <v>33</v>
      </c>
      <c r="B374">
        <v>2019</v>
      </c>
      <c r="C374">
        <v>16.144621442634691</v>
      </c>
      <c r="D374">
        <v>33.68</v>
      </c>
    </row>
    <row r="375" spans="1:4" x14ac:dyDescent="0.3">
      <c r="A375" t="s">
        <v>33</v>
      </c>
      <c r="B375">
        <v>2020</v>
      </c>
      <c r="C375">
        <v>11.741877256317689</v>
      </c>
      <c r="D375">
        <v>31.03</v>
      </c>
    </row>
    <row r="376" spans="1:4" x14ac:dyDescent="0.3">
      <c r="A376" t="s">
        <v>33</v>
      </c>
      <c r="B376">
        <v>2021</v>
      </c>
      <c r="C376">
        <v>9.020026263952726</v>
      </c>
      <c r="D376">
        <v>22.98</v>
      </c>
    </row>
    <row r="377" spans="1:4" x14ac:dyDescent="0.3">
      <c r="A377" t="s">
        <v>33</v>
      </c>
      <c r="B377">
        <v>2022</v>
      </c>
      <c r="C377">
        <v>10.90802748939903</v>
      </c>
      <c r="D377">
        <v>21.09</v>
      </c>
    </row>
    <row r="378" spans="1:4" x14ac:dyDescent="0.3">
      <c r="A378" t="s">
        <v>33</v>
      </c>
      <c r="B378">
        <v>2023</v>
      </c>
      <c r="C378">
        <v>14.79039681552432</v>
      </c>
      <c r="D378">
        <v>23.3</v>
      </c>
    </row>
    <row r="379" spans="1:4" x14ac:dyDescent="0.3">
      <c r="A379" t="s">
        <v>33</v>
      </c>
      <c r="B379">
        <v>2024</v>
      </c>
      <c r="C379">
        <v>13.56294790886726</v>
      </c>
      <c r="D379">
        <v>20.48</v>
      </c>
    </row>
    <row r="380" spans="1:4" x14ac:dyDescent="0.3">
      <c r="A380" t="s">
        <v>34</v>
      </c>
    </row>
    <row r="381" spans="1:4" x14ac:dyDescent="0.3">
      <c r="A381" t="s">
        <v>34</v>
      </c>
      <c r="B381">
        <v>2013</v>
      </c>
      <c r="C381">
        <v>23.975506358926051</v>
      </c>
    </row>
    <row r="382" spans="1:4" x14ac:dyDescent="0.3">
      <c r="A382" t="s">
        <v>34</v>
      </c>
      <c r="B382">
        <v>2014</v>
      </c>
      <c r="C382">
        <v>24.958677685950409</v>
      </c>
    </row>
    <row r="383" spans="1:4" x14ac:dyDescent="0.3">
      <c r="A383" t="s">
        <v>34</v>
      </c>
      <c r="B383">
        <v>2015</v>
      </c>
      <c r="C383">
        <v>23.70851517304374</v>
      </c>
    </row>
    <row r="384" spans="1:4" x14ac:dyDescent="0.3">
      <c r="A384" t="s">
        <v>34</v>
      </c>
      <c r="B384">
        <v>2016</v>
      </c>
      <c r="C384">
        <v>16.954411647704671</v>
      </c>
    </row>
    <row r="385" spans="1:4" x14ac:dyDescent="0.3">
      <c r="A385" t="s">
        <v>34</v>
      </c>
      <c r="B385">
        <v>2017</v>
      </c>
      <c r="C385">
        <v>10.53661719132279</v>
      </c>
    </row>
    <row r="386" spans="1:4" x14ac:dyDescent="0.3">
      <c r="A386" t="s">
        <v>34</v>
      </c>
      <c r="B386">
        <v>2018</v>
      </c>
      <c r="C386">
        <v>7.532612153993</v>
      </c>
      <c r="D386">
        <v>3.83</v>
      </c>
    </row>
    <row r="387" spans="1:4" x14ac:dyDescent="0.3">
      <c r="A387" t="s">
        <v>34</v>
      </c>
      <c r="B387">
        <v>2019</v>
      </c>
      <c r="C387">
        <v>13.904734740444949</v>
      </c>
      <c r="D387">
        <v>2.86</v>
      </c>
    </row>
    <row r="388" spans="1:4" x14ac:dyDescent="0.3">
      <c r="A388" t="s">
        <v>34</v>
      </c>
      <c r="B388">
        <v>2020</v>
      </c>
      <c r="C388">
        <v>12.98801205205462</v>
      </c>
      <c r="D388">
        <v>3.12</v>
      </c>
    </row>
    <row r="389" spans="1:4" x14ac:dyDescent="0.3">
      <c r="A389" t="s">
        <v>34</v>
      </c>
      <c r="B389">
        <v>2021</v>
      </c>
      <c r="C389">
        <v>11.06513236211099</v>
      </c>
      <c r="D389">
        <v>4.12</v>
      </c>
    </row>
    <row r="390" spans="1:4" x14ac:dyDescent="0.3">
      <c r="A390" t="s">
        <v>34</v>
      </c>
      <c r="B390">
        <v>2022</v>
      </c>
      <c r="C390">
        <v>11.35748490526754</v>
      </c>
      <c r="D390">
        <v>8.6999999999999993</v>
      </c>
    </row>
    <row r="391" spans="1:4" x14ac:dyDescent="0.3">
      <c r="A391" t="s">
        <v>34</v>
      </c>
      <c r="B391">
        <v>2023</v>
      </c>
      <c r="C391">
        <v>19.354977239543071</v>
      </c>
      <c r="D391">
        <v>11.55</v>
      </c>
    </row>
    <row r="392" spans="1:4" x14ac:dyDescent="0.3">
      <c r="A392" t="s">
        <v>34</v>
      </c>
      <c r="B392">
        <v>2024</v>
      </c>
      <c r="C392">
        <v>19.742337368160261</v>
      </c>
      <c r="D392">
        <v>12.64</v>
      </c>
    </row>
    <row r="393" spans="1:4" x14ac:dyDescent="0.3">
      <c r="A393" t="s">
        <v>35</v>
      </c>
    </row>
    <row r="394" spans="1:4" x14ac:dyDescent="0.3">
      <c r="A394" t="s">
        <v>35</v>
      </c>
      <c r="B394">
        <v>2012</v>
      </c>
      <c r="C394">
        <v>27.065527065527071</v>
      </c>
    </row>
    <row r="395" spans="1:4" x14ac:dyDescent="0.3">
      <c r="A395" t="s">
        <v>35</v>
      </c>
      <c r="B395">
        <v>2013</v>
      </c>
      <c r="C395">
        <v>25.54744525547445</v>
      </c>
    </row>
    <row r="396" spans="1:4" x14ac:dyDescent="0.3">
      <c r="A396" t="s">
        <v>35</v>
      </c>
      <c r="B396">
        <v>2014</v>
      </c>
      <c r="C396">
        <v>27.901430842607311</v>
      </c>
    </row>
    <row r="397" spans="1:4" x14ac:dyDescent="0.3">
      <c r="A397" t="s">
        <v>35</v>
      </c>
      <c r="B397">
        <v>2016</v>
      </c>
      <c r="C397">
        <v>36.627429509991792</v>
      </c>
    </row>
    <row r="398" spans="1:4" x14ac:dyDescent="0.3">
      <c r="A398" t="s">
        <v>35</v>
      </c>
      <c r="B398">
        <v>2017</v>
      </c>
      <c r="C398">
        <v>31.188026192703461</v>
      </c>
      <c r="D398">
        <v>1.94</v>
      </c>
    </row>
    <row r="399" spans="1:4" x14ac:dyDescent="0.3">
      <c r="A399" t="s">
        <v>35</v>
      </c>
      <c r="B399">
        <v>2018</v>
      </c>
      <c r="C399">
        <v>27.880512091038401</v>
      </c>
      <c r="D399">
        <v>5.65</v>
      </c>
    </row>
    <row r="400" spans="1:4" x14ac:dyDescent="0.3">
      <c r="A400" t="s">
        <v>35</v>
      </c>
      <c r="B400">
        <v>2019</v>
      </c>
      <c r="C400">
        <v>24.702848172235932</v>
      </c>
      <c r="D400">
        <v>2.31</v>
      </c>
    </row>
    <row r="401" spans="1:4" x14ac:dyDescent="0.3">
      <c r="A401" t="s">
        <v>35</v>
      </c>
      <c r="B401">
        <v>2020</v>
      </c>
      <c r="C401">
        <v>18.30477908025248</v>
      </c>
    </row>
    <row r="402" spans="1:4" x14ac:dyDescent="0.3">
      <c r="A402" t="s">
        <v>35</v>
      </c>
      <c r="B402">
        <v>2021</v>
      </c>
      <c r="C402">
        <v>11.7765343591537</v>
      </c>
      <c r="D402">
        <v>7.15</v>
      </c>
    </row>
    <row r="403" spans="1:4" x14ac:dyDescent="0.3">
      <c r="A403" t="s">
        <v>35</v>
      </c>
      <c r="B403">
        <v>2022</v>
      </c>
      <c r="C403">
        <v>13.30107868020305</v>
      </c>
      <c r="D403">
        <v>7.93</v>
      </c>
    </row>
    <row r="404" spans="1:4" x14ac:dyDescent="0.3">
      <c r="A404" t="s">
        <v>35</v>
      </c>
      <c r="B404">
        <v>2023</v>
      </c>
      <c r="C404">
        <v>19.439626417611741</v>
      </c>
      <c r="D404">
        <v>10.01</v>
      </c>
    </row>
    <row r="405" spans="1:4" x14ac:dyDescent="0.3">
      <c r="A405" t="s">
        <v>35</v>
      </c>
      <c r="B405">
        <v>2024</v>
      </c>
      <c r="C405">
        <v>22.172346910501521</v>
      </c>
      <c r="D405">
        <v>11.04</v>
      </c>
    </row>
    <row r="406" spans="1:4" x14ac:dyDescent="0.3">
      <c r="A406" t="s">
        <v>36</v>
      </c>
    </row>
    <row r="407" spans="1:4" x14ac:dyDescent="0.3">
      <c r="A407" t="s">
        <v>36</v>
      </c>
      <c r="B407">
        <v>2013</v>
      </c>
      <c r="C407">
        <v>15.166354101548929</v>
      </c>
    </row>
    <row r="408" spans="1:4" x14ac:dyDescent="0.3">
      <c r="A408" t="s">
        <v>36</v>
      </c>
      <c r="B408">
        <v>2014</v>
      </c>
      <c r="C408">
        <v>14.74611782105004</v>
      </c>
    </row>
    <row r="409" spans="1:4" x14ac:dyDescent="0.3">
      <c r="A409" t="s">
        <v>36</v>
      </c>
      <c r="B409">
        <v>2015</v>
      </c>
      <c r="C409">
        <v>9.2881076950208676</v>
      </c>
    </row>
    <row r="410" spans="1:4" x14ac:dyDescent="0.3">
      <c r="A410" t="s">
        <v>36</v>
      </c>
      <c r="B410">
        <v>2016</v>
      </c>
      <c r="C410">
        <v>5.1479273686234652</v>
      </c>
    </row>
    <row r="411" spans="1:4" x14ac:dyDescent="0.3">
      <c r="A411" t="s">
        <v>36</v>
      </c>
      <c r="B411">
        <v>2017</v>
      </c>
      <c r="C411">
        <v>8.5841495992876222</v>
      </c>
    </row>
    <row r="412" spans="1:4" x14ac:dyDescent="0.3">
      <c r="A412" t="s">
        <v>36</v>
      </c>
      <c r="B412">
        <v>2018</v>
      </c>
      <c r="C412">
        <v>11.528587538088731</v>
      </c>
      <c r="D412">
        <v>1.35</v>
      </c>
    </row>
    <row r="413" spans="1:4" x14ac:dyDescent="0.3">
      <c r="A413" t="s">
        <v>36</v>
      </c>
      <c r="B413">
        <v>2019</v>
      </c>
      <c r="C413">
        <v>14.244413529258329</v>
      </c>
      <c r="D413">
        <v>4.29</v>
      </c>
    </row>
    <row r="414" spans="1:4" x14ac:dyDescent="0.3">
      <c r="A414" t="s">
        <v>36</v>
      </c>
      <c r="B414">
        <v>2020</v>
      </c>
      <c r="C414">
        <v>19.312738491515791</v>
      </c>
      <c r="D414">
        <v>3.67</v>
      </c>
    </row>
    <row r="415" spans="1:4" x14ac:dyDescent="0.3">
      <c r="A415" t="s">
        <v>36</v>
      </c>
      <c r="B415">
        <v>2021</v>
      </c>
      <c r="C415">
        <v>11.55090068068143</v>
      </c>
      <c r="D415">
        <v>1.96</v>
      </c>
    </row>
    <row r="416" spans="1:4" x14ac:dyDescent="0.3">
      <c r="A416" t="s">
        <v>36</v>
      </c>
      <c r="B416">
        <v>2022</v>
      </c>
      <c r="C416">
        <v>19.190816358361669</v>
      </c>
      <c r="D416">
        <v>13.83</v>
      </c>
    </row>
    <row r="417" spans="1:4" x14ac:dyDescent="0.3">
      <c r="A417" t="s">
        <v>36</v>
      </c>
      <c r="B417">
        <v>2023</v>
      </c>
      <c r="C417">
        <v>8.6189104686802107</v>
      </c>
      <c r="D417">
        <v>21.73</v>
      </c>
    </row>
    <row r="418" spans="1:4" x14ac:dyDescent="0.3">
      <c r="A418" t="s">
        <v>36</v>
      </c>
      <c r="B418">
        <v>2024</v>
      </c>
      <c r="C418">
        <v>12.861540060002341</v>
      </c>
      <c r="D418">
        <v>11.83</v>
      </c>
    </row>
    <row r="419" spans="1:4" x14ac:dyDescent="0.3">
      <c r="A419" t="s">
        <v>37</v>
      </c>
    </row>
    <row r="420" spans="1:4" x14ac:dyDescent="0.3">
      <c r="A420" t="s">
        <v>37</v>
      </c>
      <c r="B420">
        <v>2013</v>
      </c>
      <c r="C420">
        <v>25.50558406278298</v>
      </c>
    </row>
    <row r="421" spans="1:4" x14ac:dyDescent="0.3">
      <c r="A421" t="s">
        <v>37</v>
      </c>
      <c r="B421">
        <v>2014</v>
      </c>
      <c r="C421">
        <v>21.695364238410601</v>
      </c>
    </row>
    <row r="422" spans="1:4" x14ac:dyDescent="0.3">
      <c r="A422" t="s">
        <v>37</v>
      </c>
      <c r="B422">
        <v>2015</v>
      </c>
      <c r="C422">
        <v>22.639758756668989</v>
      </c>
    </row>
    <row r="423" spans="1:4" x14ac:dyDescent="0.3">
      <c r="A423" t="s">
        <v>37</v>
      </c>
      <c r="B423">
        <v>2016</v>
      </c>
      <c r="C423">
        <v>19.47504101242091</v>
      </c>
    </row>
    <row r="424" spans="1:4" x14ac:dyDescent="0.3">
      <c r="A424" t="s">
        <v>37</v>
      </c>
      <c r="B424">
        <v>2017</v>
      </c>
      <c r="C424">
        <v>24.66993587325538</v>
      </c>
    </row>
    <row r="425" spans="1:4" x14ac:dyDescent="0.3">
      <c r="A425" t="s">
        <v>37</v>
      </c>
      <c r="B425">
        <v>2018</v>
      </c>
      <c r="C425">
        <v>26.110578459571752</v>
      </c>
      <c r="D425">
        <v>8.9600000000000009</v>
      </c>
    </row>
    <row r="426" spans="1:4" x14ac:dyDescent="0.3">
      <c r="A426" t="s">
        <v>37</v>
      </c>
      <c r="B426">
        <v>2019</v>
      </c>
      <c r="C426">
        <v>32.22787945507087</v>
      </c>
      <c r="D426">
        <v>6.3</v>
      </c>
    </row>
    <row r="427" spans="1:4" x14ac:dyDescent="0.3">
      <c r="A427" t="s">
        <v>37</v>
      </c>
      <c r="B427">
        <v>2020</v>
      </c>
      <c r="C427">
        <v>18.954165611547229</v>
      </c>
      <c r="D427">
        <v>3.68</v>
      </c>
    </row>
    <row r="428" spans="1:4" x14ac:dyDescent="0.3">
      <c r="A428" t="s">
        <v>37</v>
      </c>
      <c r="B428">
        <v>2021</v>
      </c>
      <c r="C428">
        <v>18.232863650810469</v>
      </c>
      <c r="D428">
        <v>5.54</v>
      </c>
    </row>
    <row r="429" spans="1:4" x14ac:dyDescent="0.3">
      <c r="A429" t="s">
        <v>37</v>
      </c>
      <c r="B429">
        <v>2022</v>
      </c>
      <c r="C429">
        <v>15.42921426098996</v>
      </c>
      <c r="D429">
        <v>5.78</v>
      </c>
    </row>
    <row r="430" spans="1:4" x14ac:dyDescent="0.3">
      <c r="A430" t="s">
        <v>37</v>
      </c>
      <c r="B430">
        <v>2023</v>
      </c>
      <c r="C430">
        <v>12.338697984631001</v>
      </c>
      <c r="D430">
        <v>6.22</v>
      </c>
    </row>
    <row r="431" spans="1:4" x14ac:dyDescent="0.3">
      <c r="A431" t="s">
        <v>37</v>
      </c>
      <c r="B431">
        <v>2024</v>
      </c>
      <c r="C431">
        <v>-4.4530877917129699</v>
      </c>
      <c r="D431">
        <v>6.45</v>
      </c>
    </row>
    <row r="432" spans="1:4" x14ac:dyDescent="0.3">
      <c r="A432" t="s">
        <v>38</v>
      </c>
    </row>
    <row r="433" spans="1:4" x14ac:dyDescent="0.3">
      <c r="A433" t="s">
        <v>38</v>
      </c>
      <c r="B433">
        <v>2013</v>
      </c>
      <c r="C433">
        <v>19.21961642163097</v>
      </c>
    </row>
    <row r="434" spans="1:4" x14ac:dyDescent="0.3">
      <c r="A434" t="s">
        <v>38</v>
      </c>
      <c r="B434">
        <v>2014</v>
      </c>
      <c r="C434">
        <v>13.666435345824659</v>
      </c>
    </row>
    <row r="435" spans="1:4" x14ac:dyDescent="0.3">
      <c r="A435" t="s">
        <v>38</v>
      </c>
      <c r="B435">
        <v>2015</v>
      </c>
      <c r="C435">
        <v>11.158167675021611</v>
      </c>
    </row>
    <row r="436" spans="1:4" x14ac:dyDescent="0.3">
      <c r="A436" t="s">
        <v>38</v>
      </c>
      <c r="B436">
        <v>2016</v>
      </c>
      <c r="C436">
        <v>12.596157351708049</v>
      </c>
    </row>
    <row r="437" spans="1:4" x14ac:dyDescent="0.3">
      <c r="A437" t="s">
        <v>38</v>
      </c>
      <c r="B437">
        <v>2017</v>
      </c>
      <c r="C437">
        <v>13.52789371395801</v>
      </c>
    </row>
    <row r="438" spans="1:4" x14ac:dyDescent="0.3">
      <c r="A438" t="s">
        <v>38</v>
      </c>
      <c r="B438">
        <v>2018</v>
      </c>
      <c r="C438">
        <v>6.429455553424801</v>
      </c>
      <c r="D438">
        <v>14.9</v>
      </c>
    </row>
    <row r="439" spans="1:4" x14ac:dyDescent="0.3">
      <c r="A439" t="s">
        <v>38</v>
      </c>
      <c r="B439">
        <v>2019</v>
      </c>
      <c r="C439">
        <v>4.7311271975180968</v>
      </c>
      <c r="D439">
        <v>22.2</v>
      </c>
    </row>
    <row r="440" spans="1:4" x14ac:dyDescent="0.3">
      <c r="A440" t="s">
        <v>38</v>
      </c>
      <c r="B440">
        <v>2020</v>
      </c>
      <c r="C440">
        <v>11.72284710327901</v>
      </c>
      <c r="D440">
        <v>16.55</v>
      </c>
    </row>
    <row r="441" spans="1:4" x14ac:dyDescent="0.3">
      <c r="A441" t="s">
        <v>38</v>
      </c>
      <c r="B441">
        <v>2021</v>
      </c>
      <c r="C441">
        <v>10.668152807890801</v>
      </c>
      <c r="D441">
        <v>17.239999999999998</v>
      </c>
    </row>
    <row r="442" spans="1:4" x14ac:dyDescent="0.3">
      <c r="A442" t="s">
        <v>38</v>
      </c>
      <c r="B442">
        <v>2022</v>
      </c>
      <c r="C442">
        <v>14.80336596256225</v>
      </c>
      <c r="D442">
        <v>21.55</v>
      </c>
    </row>
    <row r="443" spans="1:4" x14ac:dyDescent="0.3">
      <c r="A443" t="s">
        <v>38</v>
      </c>
      <c r="B443">
        <v>2023</v>
      </c>
      <c r="C443">
        <v>14.068730791699471</v>
      </c>
      <c r="D443">
        <v>16.05</v>
      </c>
    </row>
    <row r="444" spans="1:4" x14ac:dyDescent="0.3">
      <c r="A444" t="s">
        <v>38</v>
      </c>
      <c r="B444">
        <v>2024</v>
      </c>
      <c r="C444">
        <v>11.19646261265834</v>
      </c>
      <c r="D444">
        <v>11.15</v>
      </c>
    </row>
    <row r="445" spans="1:4" x14ac:dyDescent="0.3">
      <c r="A445" t="s">
        <v>39</v>
      </c>
    </row>
    <row r="446" spans="1:4" x14ac:dyDescent="0.3">
      <c r="A446" t="s">
        <v>39</v>
      </c>
      <c r="B446">
        <v>2013</v>
      </c>
    </row>
    <row r="447" spans="1:4" x14ac:dyDescent="0.3">
      <c r="A447" t="s">
        <v>39</v>
      </c>
      <c r="B447">
        <v>2014</v>
      </c>
    </row>
    <row r="448" spans="1:4" x14ac:dyDescent="0.3">
      <c r="A448" t="s">
        <v>39</v>
      </c>
      <c r="B448">
        <v>2015</v>
      </c>
    </row>
    <row r="449" spans="1:4" x14ac:dyDescent="0.3">
      <c r="A449" t="s">
        <v>39</v>
      </c>
      <c r="B449">
        <v>2016</v>
      </c>
      <c r="C449">
        <v>1665</v>
      </c>
    </row>
    <row r="450" spans="1:4" x14ac:dyDescent="0.3">
      <c r="A450" t="s">
        <v>39</v>
      </c>
      <c r="B450">
        <v>2017</v>
      </c>
      <c r="C450">
        <v>1966.917293233083</v>
      </c>
    </row>
    <row r="451" spans="1:4" x14ac:dyDescent="0.3">
      <c r="A451" t="s">
        <v>39</v>
      </c>
      <c r="B451">
        <v>2018</v>
      </c>
      <c r="C451">
        <v>1528.461538461539</v>
      </c>
      <c r="D451">
        <v>5.27</v>
      </c>
    </row>
    <row r="452" spans="1:4" x14ac:dyDescent="0.3">
      <c r="A452" t="s">
        <v>39</v>
      </c>
      <c r="B452">
        <v>2019</v>
      </c>
      <c r="C452">
        <v>1763.9097744360899</v>
      </c>
      <c r="D452">
        <v>5.74</v>
      </c>
    </row>
    <row r="453" spans="1:4" x14ac:dyDescent="0.3">
      <c r="A453" t="s">
        <v>39</v>
      </c>
      <c r="B453">
        <v>2020</v>
      </c>
      <c r="C453">
        <v>2059.420289855072</v>
      </c>
      <c r="D453">
        <v>6.39</v>
      </c>
    </row>
    <row r="454" spans="1:4" x14ac:dyDescent="0.3">
      <c r="A454" t="s">
        <v>39</v>
      </c>
      <c r="B454">
        <v>2021</v>
      </c>
      <c r="C454">
        <v>2249.3055555555561</v>
      </c>
      <c r="D454">
        <v>6.43</v>
      </c>
    </row>
    <row r="455" spans="1:4" x14ac:dyDescent="0.3">
      <c r="A455" t="s">
        <v>39</v>
      </c>
      <c r="B455">
        <v>2022</v>
      </c>
      <c r="C455">
        <v>3324.1830065359482</v>
      </c>
      <c r="D455">
        <v>6.52</v>
      </c>
    </row>
    <row r="456" spans="1:4" x14ac:dyDescent="0.3">
      <c r="A456" t="s">
        <v>39</v>
      </c>
      <c r="B456">
        <v>2023</v>
      </c>
      <c r="C456">
        <v>3283.0508474576268</v>
      </c>
      <c r="D456">
        <v>7.77</v>
      </c>
    </row>
    <row r="457" spans="1:4" x14ac:dyDescent="0.3">
      <c r="A457" t="s">
        <v>39</v>
      </c>
      <c r="B457">
        <v>2024</v>
      </c>
      <c r="C457">
        <v>3816.582914572864</v>
      </c>
      <c r="D457">
        <v>8.7100000000000009</v>
      </c>
    </row>
    <row r="458" spans="1:4" x14ac:dyDescent="0.3">
      <c r="A458" t="s">
        <v>40</v>
      </c>
    </row>
    <row r="459" spans="1:4" x14ac:dyDescent="0.3">
      <c r="A459" t="s">
        <v>40</v>
      </c>
      <c r="B459">
        <v>2013</v>
      </c>
      <c r="C459">
        <v>40.291262135922331</v>
      </c>
    </row>
    <row r="460" spans="1:4" x14ac:dyDescent="0.3">
      <c r="A460" t="s">
        <v>40</v>
      </c>
      <c r="B460">
        <v>2014</v>
      </c>
      <c r="C460">
        <v>26.770708283313329</v>
      </c>
    </row>
    <row r="461" spans="1:4" x14ac:dyDescent="0.3">
      <c r="A461" t="s">
        <v>40</v>
      </c>
      <c r="B461">
        <v>2015</v>
      </c>
      <c r="C461">
        <v>21.177117711771171</v>
      </c>
    </row>
    <row r="462" spans="1:4" x14ac:dyDescent="0.3">
      <c r="A462" t="s">
        <v>40</v>
      </c>
      <c r="B462">
        <v>2016</v>
      </c>
      <c r="C462">
        <v>42.94681202510737</v>
      </c>
    </row>
    <row r="463" spans="1:4" x14ac:dyDescent="0.3">
      <c r="A463" t="s">
        <v>40</v>
      </c>
      <c r="B463">
        <v>2017</v>
      </c>
      <c r="C463">
        <v>15.079365079365081</v>
      </c>
    </row>
    <row r="464" spans="1:4" x14ac:dyDescent="0.3">
      <c r="A464" t="s">
        <v>40</v>
      </c>
      <c r="B464">
        <v>2018</v>
      </c>
      <c r="C464">
        <v>17.721179624664881</v>
      </c>
      <c r="D464">
        <v>2.61</v>
      </c>
    </row>
    <row r="465" spans="1:4" x14ac:dyDescent="0.3">
      <c r="A465" t="s">
        <v>40</v>
      </c>
      <c r="B465">
        <v>2019</v>
      </c>
      <c r="C465">
        <v>18.770843258694619</v>
      </c>
      <c r="D465">
        <v>4.58</v>
      </c>
    </row>
    <row r="466" spans="1:4" x14ac:dyDescent="0.3">
      <c r="A466" t="s">
        <v>40</v>
      </c>
      <c r="B466">
        <v>2020</v>
      </c>
      <c r="C466">
        <v>17.04545454545454</v>
      </c>
      <c r="D466">
        <v>2.2000000000000002</v>
      </c>
    </row>
    <row r="467" spans="1:4" x14ac:dyDescent="0.3">
      <c r="A467" t="s">
        <v>40</v>
      </c>
      <c r="B467">
        <v>2021</v>
      </c>
      <c r="C467">
        <v>20.166119374154921</v>
      </c>
      <c r="D467">
        <v>6.61</v>
      </c>
    </row>
    <row r="468" spans="1:4" x14ac:dyDescent="0.3">
      <c r="A468" t="s">
        <v>40</v>
      </c>
      <c r="B468">
        <v>2022</v>
      </c>
      <c r="C468">
        <v>19.92337164750958</v>
      </c>
      <c r="D468">
        <v>17.850000000000001</v>
      </c>
    </row>
    <row r="469" spans="1:4" x14ac:dyDescent="0.3">
      <c r="A469" t="s">
        <v>40</v>
      </c>
      <c r="B469">
        <v>2023</v>
      </c>
      <c r="C469">
        <v>16.178690009055241</v>
      </c>
      <c r="D469">
        <v>15.82</v>
      </c>
    </row>
    <row r="470" spans="1:4" x14ac:dyDescent="0.3">
      <c r="A470" t="s">
        <v>40</v>
      </c>
      <c r="B470">
        <v>2024</v>
      </c>
      <c r="C470">
        <v>17.067275412917951</v>
      </c>
      <c r="D470">
        <v>13.04</v>
      </c>
    </row>
    <row r="471" spans="1:4" x14ac:dyDescent="0.3">
      <c r="A471" t="s">
        <v>41</v>
      </c>
    </row>
    <row r="472" spans="1:4" x14ac:dyDescent="0.3">
      <c r="A472" t="s">
        <v>41</v>
      </c>
      <c r="B472">
        <v>2013</v>
      </c>
      <c r="C472">
        <v>30.689759951382559</v>
      </c>
    </row>
    <row r="473" spans="1:4" x14ac:dyDescent="0.3">
      <c r="A473" t="s">
        <v>41</v>
      </c>
      <c r="B473">
        <v>2014</v>
      </c>
      <c r="C473">
        <v>33.391304347826093</v>
      </c>
    </row>
    <row r="474" spans="1:4" x14ac:dyDescent="0.3">
      <c r="A474" t="s">
        <v>41</v>
      </c>
      <c r="B474">
        <v>2015</v>
      </c>
      <c r="C474">
        <v>30.30878467635403</v>
      </c>
    </row>
    <row r="475" spans="1:4" x14ac:dyDescent="0.3">
      <c r="A475" t="s">
        <v>41</v>
      </c>
      <c r="B475">
        <v>2016</v>
      </c>
      <c r="C475">
        <v>20.45197327589354</v>
      </c>
    </row>
    <row r="476" spans="1:4" x14ac:dyDescent="0.3">
      <c r="A476" t="s">
        <v>41</v>
      </c>
      <c r="B476">
        <v>2017</v>
      </c>
      <c r="C476">
        <v>26.119153843819241</v>
      </c>
    </row>
    <row r="477" spans="1:4" x14ac:dyDescent="0.3">
      <c r="A477" t="s">
        <v>41</v>
      </c>
      <c r="B477">
        <v>2018</v>
      </c>
      <c r="C477">
        <v>23.970757983839938</v>
      </c>
      <c r="D477">
        <v>14.6</v>
      </c>
    </row>
    <row r="478" spans="1:4" x14ac:dyDescent="0.3">
      <c r="A478" t="s">
        <v>41</v>
      </c>
      <c r="B478">
        <v>2019</v>
      </c>
      <c r="C478">
        <v>24.464536092443069</v>
      </c>
      <c r="D478">
        <v>13.46</v>
      </c>
    </row>
    <row r="479" spans="1:4" x14ac:dyDescent="0.3">
      <c r="A479" t="s">
        <v>41</v>
      </c>
      <c r="B479">
        <v>2020</v>
      </c>
      <c r="C479">
        <v>21.56748005539626</v>
      </c>
      <c r="D479">
        <v>14</v>
      </c>
    </row>
    <row r="480" spans="1:4" x14ac:dyDescent="0.3">
      <c r="A480" t="s">
        <v>41</v>
      </c>
      <c r="B480">
        <v>2021</v>
      </c>
      <c r="C480">
        <v>18.642030944870061</v>
      </c>
      <c r="D480">
        <v>19.34</v>
      </c>
    </row>
    <row r="481" spans="1:4" x14ac:dyDescent="0.3">
      <c r="A481" t="s">
        <v>41</v>
      </c>
      <c r="B481">
        <v>2022</v>
      </c>
      <c r="C481">
        <v>21.841586717059151</v>
      </c>
      <c r="D481">
        <v>12.48</v>
      </c>
    </row>
    <row r="482" spans="1:4" x14ac:dyDescent="0.3">
      <c r="A482" t="s">
        <v>41</v>
      </c>
      <c r="B482">
        <v>2023</v>
      </c>
      <c r="C482">
        <v>22.69704151058788</v>
      </c>
      <c r="D482">
        <v>14.94</v>
      </c>
    </row>
    <row r="483" spans="1:4" x14ac:dyDescent="0.3">
      <c r="A483" t="s">
        <v>41</v>
      </c>
      <c r="B483">
        <v>2024</v>
      </c>
      <c r="C483">
        <v>23.013931412331718</v>
      </c>
      <c r="D483">
        <v>12.71</v>
      </c>
    </row>
    <row r="484" spans="1:4" x14ac:dyDescent="0.3">
      <c r="A484" t="s">
        <v>42</v>
      </c>
    </row>
    <row r="485" spans="1:4" x14ac:dyDescent="0.3">
      <c r="A485" t="s">
        <v>42</v>
      </c>
      <c r="B485">
        <v>2013</v>
      </c>
      <c r="C485">
        <v>18.83852304669378</v>
      </c>
    </row>
    <row r="486" spans="1:4" x14ac:dyDescent="0.3">
      <c r="A486" t="s">
        <v>42</v>
      </c>
      <c r="B486">
        <v>2014</v>
      </c>
      <c r="C486">
        <v>19.85192564584418</v>
      </c>
    </row>
    <row r="487" spans="1:4" x14ac:dyDescent="0.3">
      <c r="A487" t="s">
        <v>42</v>
      </c>
      <c r="B487">
        <v>2015</v>
      </c>
      <c r="C487">
        <v>16.94746176014187</v>
      </c>
    </row>
    <row r="488" spans="1:4" x14ac:dyDescent="0.3">
      <c r="A488" t="s">
        <v>42</v>
      </c>
      <c r="B488">
        <v>2016</v>
      </c>
      <c r="C488">
        <v>17.25479112833764</v>
      </c>
    </row>
    <row r="489" spans="1:4" x14ac:dyDescent="0.3">
      <c r="A489" t="s">
        <v>42</v>
      </c>
      <c r="B489">
        <v>2017</v>
      </c>
      <c r="C489">
        <v>16.686275791446061</v>
      </c>
    </row>
    <row r="490" spans="1:4" x14ac:dyDescent="0.3">
      <c r="A490" t="s">
        <v>42</v>
      </c>
      <c r="B490">
        <v>2018</v>
      </c>
      <c r="C490">
        <v>16.93537349793338</v>
      </c>
      <c r="D490">
        <v>18.920000000000002</v>
      </c>
    </row>
    <row r="491" spans="1:4" x14ac:dyDescent="0.3">
      <c r="A491" t="s">
        <v>42</v>
      </c>
      <c r="B491">
        <v>2019</v>
      </c>
      <c r="C491">
        <v>14.60633943503413</v>
      </c>
      <c r="D491">
        <v>19.829999999999998</v>
      </c>
    </row>
    <row r="492" spans="1:4" x14ac:dyDescent="0.3">
      <c r="A492" t="s">
        <v>42</v>
      </c>
      <c r="B492">
        <v>2020</v>
      </c>
      <c r="C492">
        <v>15.47760804726749</v>
      </c>
      <c r="D492">
        <v>19.25</v>
      </c>
    </row>
    <row r="493" spans="1:4" x14ac:dyDescent="0.3">
      <c r="A493" t="s">
        <v>42</v>
      </c>
      <c r="B493">
        <v>2021</v>
      </c>
      <c r="C493">
        <v>15.18373766741338</v>
      </c>
      <c r="D493">
        <v>15.27</v>
      </c>
    </row>
    <row r="494" spans="1:4" x14ac:dyDescent="0.3">
      <c r="A494" t="s">
        <v>42</v>
      </c>
      <c r="B494">
        <v>2022</v>
      </c>
      <c r="C494">
        <v>15.42532760272837</v>
      </c>
      <c r="D494">
        <v>13.16</v>
      </c>
    </row>
    <row r="495" spans="1:4" x14ac:dyDescent="0.3">
      <c r="A495" t="s">
        <v>42</v>
      </c>
      <c r="B495">
        <v>2023</v>
      </c>
      <c r="C495">
        <v>15.944347321360709</v>
      </c>
      <c r="D495">
        <v>14.89</v>
      </c>
    </row>
    <row r="496" spans="1:4" x14ac:dyDescent="0.3">
      <c r="A496" t="s">
        <v>42</v>
      </c>
      <c r="B496">
        <v>2024</v>
      </c>
      <c r="C496">
        <v>14.33974005030719</v>
      </c>
      <c r="D496">
        <v>21.95</v>
      </c>
    </row>
    <row r="497" spans="1:4" x14ac:dyDescent="0.3">
      <c r="A497" t="s">
        <v>43</v>
      </c>
    </row>
    <row r="498" spans="1:4" x14ac:dyDescent="0.3">
      <c r="A498" t="s">
        <v>43</v>
      </c>
      <c r="B498">
        <v>2013</v>
      </c>
      <c r="C498">
        <v>33.433059087509349</v>
      </c>
    </row>
    <row r="499" spans="1:4" x14ac:dyDescent="0.3">
      <c r="A499" t="s">
        <v>43</v>
      </c>
      <c r="B499">
        <v>2014</v>
      </c>
      <c r="C499">
        <v>37.603734439834028</v>
      </c>
    </row>
    <row r="500" spans="1:4" x14ac:dyDescent="0.3">
      <c r="A500" t="s">
        <v>43</v>
      </c>
      <c r="B500">
        <v>2015</v>
      </c>
      <c r="C500">
        <v>30.93270365997639</v>
      </c>
    </row>
    <row r="501" spans="1:4" x14ac:dyDescent="0.3">
      <c r="A501" t="s">
        <v>43</v>
      </c>
      <c r="B501">
        <v>2016</v>
      </c>
      <c r="C501">
        <v>26.329358685143411</v>
      </c>
    </row>
    <row r="502" spans="1:4" x14ac:dyDescent="0.3">
      <c r="A502" t="s">
        <v>43</v>
      </c>
      <c r="B502">
        <v>2017</v>
      </c>
      <c r="C502">
        <v>23.183481442760058</v>
      </c>
    </row>
    <row r="503" spans="1:4" x14ac:dyDescent="0.3">
      <c r="A503" t="s">
        <v>43</v>
      </c>
      <c r="B503">
        <v>2018</v>
      </c>
      <c r="C503">
        <v>23.52816153028693</v>
      </c>
      <c r="D503">
        <v>18.07</v>
      </c>
    </row>
    <row r="504" spans="1:4" x14ac:dyDescent="0.3">
      <c r="A504" t="s">
        <v>43</v>
      </c>
      <c r="B504">
        <v>2019</v>
      </c>
      <c r="C504">
        <v>22.651542006380719</v>
      </c>
      <c r="D504">
        <v>17.75</v>
      </c>
    </row>
    <row r="505" spans="1:4" x14ac:dyDescent="0.3">
      <c r="A505" t="s">
        <v>43</v>
      </c>
      <c r="B505">
        <v>2020</v>
      </c>
      <c r="C505">
        <v>19.053915087410019</v>
      </c>
      <c r="D505">
        <v>1.54</v>
      </c>
    </row>
    <row r="506" spans="1:4" x14ac:dyDescent="0.3">
      <c r="A506" t="s">
        <v>43</v>
      </c>
      <c r="B506">
        <v>2021</v>
      </c>
      <c r="C506">
        <v>15.75231481481481</v>
      </c>
      <c r="D506">
        <v>31.57</v>
      </c>
    </row>
    <row r="507" spans="1:4" x14ac:dyDescent="0.3">
      <c r="A507" t="s">
        <v>43</v>
      </c>
      <c r="B507">
        <v>2022</v>
      </c>
      <c r="C507">
        <v>8.498783143332906</v>
      </c>
      <c r="D507">
        <v>16.98</v>
      </c>
    </row>
    <row r="508" spans="1:4" x14ac:dyDescent="0.3">
      <c r="A508" t="s">
        <v>43</v>
      </c>
      <c r="B508">
        <v>2023</v>
      </c>
      <c r="C508">
        <v>10.528746247979679</v>
      </c>
      <c r="D508">
        <v>16.829999999999998</v>
      </c>
    </row>
    <row r="509" spans="1:4" x14ac:dyDescent="0.3">
      <c r="A509" t="s">
        <v>43</v>
      </c>
      <c r="B509">
        <v>2024</v>
      </c>
      <c r="C509">
        <v>10.732306013909721</v>
      </c>
      <c r="D509">
        <v>21.17</v>
      </c>
    </row>
    <row r="510" spans="1:4" x14ac:dyDescent="0.3">
      <c r="A510" t="s">
        <v>44</v>
      </c>
    </row>
    <row r="511" spans="1:4" x14ac:dyDescent="0.3">
      <c r="A511" t="s">
        <v>44</v>
      </c>
      <c r="B511">
        <v>2014</v>
      </c>
      <c r="C511">
        <v>37.38218033078428</v>
      </c>
    </row>
    <row r="512" spans="1:4" x14ac:dyDescent="0.3">
      <c r="A512" t="s">
        <v>44</v>
      </c>
      <c r="B512">
        <v>2015</v>
      </c>
      <c r="C512">
        <v>36.146788990825691</v>
      </c>
    </row>
    <row r="513" spans="1:4" x14ac:dyDescent="0.3">
      <c r="A513" t="s">
        <v>44</v>
      </c>
      <c r="B513">
        <v>2016</v>
      </c>
      <c r="C513">
        <v>35.227529997736021</v>
      </c>
    </row>
    <row r="514" spans="1:4" x14ac:dyDescent="0.3">
      <c r="A514" t="s">
        <v>44</v>
      </c>
      <c r="B514">
        <v>2017</v>
      </c>
      <c r="C514">
        <v>34.373788290034888</v>
      </c>
    </row>
    <row r="515" spans="1:4" x14ac:dyDescent="0.3">
      <c r="A515" t="s">
        <v>44</v>
      </c>
      <c r="B515">
        <v>2018</v>
      </c>
      <c r="C515">
        <v>31.0892081523555</v>
      </c>
    </row>
    <row r="516" spans="1:4" x14ac:dyDescent="0.3">
      <c r="A516" t="s">
        <v>44</v>
      </c>
      <c r="B516">
        <v>2019</v>
      </c>
      <c r="C516">
        <v>26.417682926829261</v>
      </c>
      <c r="D516">
        <v>6.09</v>
      </c>
    </row>
    <row r="517" spans="1:4" x14ac:dyDescent="0.3">
      <c r="A517" t="s">
        <v>44</v>
      </c>
      <c r="B517">
        <v>2020</v>
      </c>
      <c r="C517">
        <v>25.39913924753575</v>
      </c>
      <c r="D517">
        <v>1.22</v>
      </c>
    </row>
    <row r="518" spans="1:4" x14ac:dyDescent="0.3">
      <c r="A518" t="s">
        <v>44</v>
      </c>
      <c r="B518">
        <v>2021</v>
      </c>
      <c r="C518">
        <v>19.045147898287489</v>
      </c>
      <c r="D518">
        <v>1.7</v>
      </c>
    </row>
    <row r="519" spans="1:4" x14ac:dyDescent="0.3">
      <c r="A519" t="s">
        <v>44</v>
      </c>
      <c r="B519">
        <v>2022</v>
      </c>
      <c r="C519">
        <v>14.69678803559033</v>
      </c>
      <c r="D519">
        <v>0.65</v>
      </c>
    </row>
    <row r="520" spans="1:4" x14ac:dyDescent="0.3">
      <c r="A520" t="s">
        <v>44</v>
      </c>
      <c r="B520">
        <v>2023</v>
      </c>
      <c r="C520">
        <v>16.810758885686841</v>
      </c>
      <c r="D520">
        <v>1.03</v>
      </c>
    </row>
    <row r="521" spans="1:4" x14ac:dyDescent="0.3">
      <c r="A521" t="s">
        <v>44</v>
      </c>
      <c r="B521">
        <v>2024</v>
      </c>
      <c r="C521">
        <v>21.142437425843269</v>
      </c>
      <c r="D521">
        <v>2.15</v>
      </c>
    </row>
    <row r="522" spans="1:4" x14ac:dyDescent="0.3">
      <c r="A522" t="s">
        <v>45</v>
      </c>
    </row>
    <row r="523" spans="1:4" x14ac:dyDescent="0.3">
      <c r="A523" t="s">
        <v>45</v>
      </c>
      <c r="B523">
        <v>2013</v>
      </c>
      <c r="C523">
        <v>8.5111803000283057</v>
      </c>
    </row>
    <row r="524" spans="1:4" x14ac:dyDescent="0.3">
      <c r="A524" t="s">
        <v>45</v>
      </c>
      <c r="B524">
        <v>2014</v>
      </c>
      <c r="C524">
        <v>5.405871342724855</v>
      </c>
    </row>
    <row r="525" spans="1:4" x14ac:dyDescent="0.3">
      <c r="A525" t="s">
        <v>45</v>
      </c>
      <c r="B525">
        <v>2015</v>
      </c>
      <c r="C525">
        <v>0.67572856061989617</v>
      </c>
    </row>
    <row r="526" spans="1:4" x14ac:dyDescent="0.3">
      <c r="A526" t="s">
        <v>45</v>
      </c>
      <c r="B526">
        <v>2016</v>
      </c>
      <c r="C526">
        <v>-1.7286808342978159</v>
      </c>
    </row>
    <row r="527" spans="1:4" x14ac:dyDescent="0.3">
      <c r="A527" t="s">
        <v>45</v>
      </c>
      <c r="B527">
        <v>2017</v>
      </c>
      <c r="C527">
        <v>4.086063527215094</v>
      </c>
    </row>
    <row r="528" spans="1:4" x14ac:dyDescent="0.3">
      <c r="A528" t="s">
        <v>45</v>
      </c>
      <c r="B528">
        <v>2018</v>
      </c>
      <c r="C528">
        <v>11.089841755997959</v>
      </c>
      <c r="D528">
        <v>7.51</v>
      </c>
    </row>
    <row r="529" spans="1:4" x14ac:dyDescent="0.3">
      <c r="A529" t="s">
        <v>45</v>
      </c>
      <c r="B529">
        <v>2019</v>
      </c>
      <c r="C529">
        <v>9.5563555416427537</v>
      </c>
      <c r="D529">
        <v>8.2799999999999994</v>
      </c>
    </row>
    <row r="530" spans="1:4" x14ac:dyDescent="0.3">
      <c r="A530" t="s">
        <v>45</v>
      </c>
      <c r="B530">
        <v>2020</v>
      </c>
      <c r="C530">
        <v>6.459522952140885</v>
      </c>
      <c r="D530">
        <v>2.5299999999999998</v>
      </c>
    </row>
    <row r="531" spans="1:4" x14ac:dyDescent="0.3">
      <c r="A531" t="s">
        <v>45</v>
      </c>
      <c r="B531">
        <v>2021</v>
      </c>
      <c r="C531">
        <v>5.2349961673154679</v>
      </c>
      <c r="D531">
        <v>5.98</v>
      </c>
    </row>
    <row r="532" spans="1:4" x14ac:dyDescent="0.3">
      <c r="A532" t="s">
        <v>45</v>
      </c>
      <c r="B532">
        <v>2022</v>
      </c>
      <c r="C532">
        <v>17.559565678914449</v>
      </c>
      <c r="D532">
        <v>14.25</v>
      </c>
    </row>
    <row r="533" spans="1:4" x14ac:dyDescent="0.3">
      <c r="A533" t="s">
        <v>45</v>
      </c>
      <c r="B533">
        <v>2023</v>
      </c>
      <c r="C533">
        <v>10.650169820475501</v>
      </c>
      <c r="D533">
        <v>14.15</v>
      </c>
    </row>
    <row r="534" spans="1:4" x14ac:dyDescent="0.3">
      <c r="A534" t="s">
        <v>45</v>
      </c>
      <c r="B534">
        <v>2024</v>
      </c>
      <c r="C534">
        <v>9.567011474761177</v>
      </c>
      <c r="D534">
        <v>10.59</v>
      </c>
    </row>
    <row r="535" spans="1:4" x14ac:dyDescent="0.3">
      <c r="A535" t="s">
        <v>46</v>
      </c>
    </row>
    <row r="536" spans="1:4" x14ac:dyDescent="0.3">
      <c r="A536" t="s">
        <v>46</v>
      </c>
      <c r="B536">
        <v>2013</v>
      </c>
      <c r="C536">
        <v>133.99650959860381</v>
      </c>
    </row>
    <row r="537" spans="1:4" x14ac:dyDescent="0.3">
      <c r="A537" t="s">
        <v>46</v>
      </c>
      <c r="B537">
        <v>2014</v>
      </c>
      <c r="C537">
        <v>111.84619734238051</v>
      </c>
    </row>
    <row r="538" spans="1:4" x14ac:dyDescent="0.3">
      <c r="A538" t="s">
        <v>46</v>
      </c>
      <c r="B538">
        <v>2015</v>
      </c>
      <c r="C538">
        <v>108.6665011174572</v>
      </c>
    </row>
    <row r="539" spans="1:4" x14ac:dyDescent="0.3">
      <c r="A539" t="s">
        <v>46</v>
      </c>
      <c r="B539">
        <v>2016</v>
      </c>
      <c r="C539">
        <v>63.152289669861553</v>
      </c>
    </row>
    <row r="540" spans="1:4" x14ac:dyDescent="0.3">
      <c r="A540" t="s">
        <v>46</v>
      </c>
      <c r="B540">
        <v>2017</v>
      </c>
      <c r="C540">
        <v>66.577698695136419</v>
      </c>
    </row>
    <row r="541" spans="1:4" x14ac:dyDescent="0.3">
      <c r="A541" t="s">
        <v>46</v>
      </c>
      <c r="B541">
        <v>2018</v>
      </c>
      <c r="C541">
        <v>71.789589342123335</v>
      </c>
      <c r="D541">
        <v>5.65</v>
      </c>
    </row>
    <row r="542" spans="1:4" x14ac:dyDescent="0.3">
      <c r="A542" t="s">
        <v>46</v>
      </c>
      <c r="B542">
        <v>2019</v>
      </c>
      <c r="C542">
        <v>77.030634295156986</v>
      </c>
      <c r="D542">
        <v>6.1</v>
      </c>
    </row>
    <row r="543" spans="1:4" x14ac:dyDescent="0.3">
      <c r="A543" t="s">
        <v>46</v>
      </c>
      <c r="B543">
        <v>2020</v>
      </c>
      <c r="C543">
        <v>82.099890630696308</v>
      </c>
      <c r="D543">
        <v>4.47</v>
      </c>
    </row>
    <row r="544" spans="1:4" x14ac:dyDescent="0.3">
      <c r="A544" t="s">
        <v>46</v>
      </c>
      <c r="B544">
        <v>2021</v>
      </c>
      <c r="C544">
        <v>16.778537567646939</v>
      </c>
      <c r="D544">
        <v>7.88</v>
      </c>
    </row>
    <row r="545" spans="1:4" x14ac:dyDescent="0.3">
      <c r="A545" t="s">
        <v>46</v>
      </c>
      <c r="B545">
        <v>2022</v>
      </c>
      <c r="C545">
        <v>18.124375777093821</v>
      </c>
      <c r="D545">
        <v>9.6</v>
      </c>
    </row>
    <row r="546" spans="1:4" x14ac:dyDescent="0.3">
      <c r="A546" t="s">
        <v>46</v>
      </c>
      <c r="B546">
        <v>2023</v>
      </c>
      <c r="C546">
        <v>20.163406488549619</v>
      </c>
      <c r="D546">
        <v>11.25</v>
      </c>
    </row>
    <row r="547" spans="1:4" x14ac:dyDescent="0.3">
      <c r="A547" t="s">
        <v>46</v>
      </c>
      <c r="B547">
        <v>2024</v>
      </c>
      <c r="C547">
        <v>20.074973642078959</v>
      </c>
      <c r="D547">
        <v>9.5</v>
      </c>
    </row>
    <row r="548" spans="1:4" x14ac:dyDescent="0.3">
      <c r="A548" t="s">
        <v>47</v>
      </c>
    </row>
    <row r="549" spans="1:4" x14ac:dyDescent="0.3">
      <c r="A549" t="s">
        <v>47</v>
      </c>
      <c r="B549">
        <v>2013</v>
      </c>
      <c r="C549">
        <v>14.731759812689971</v>
      </c>
    </row>
    <row r="550" spans="1:4" x14ac:dyDescent="0.3">
      <c r="A550" t="s">
        <v>47</v>
      </c>
      <c r="B550">
        <v>2014</v>
      </c>
      <c r="C550">
        <v>15.278032186314279</v>
      </c>
    </row>
    <row r="551" spans="1:4" x14ac:dyDescent="0.3">
      <c r="A551" t="s">
        <v>47</v>
      </c>
      <c r="B551">
        <v>2015</v>
      </c>
      <c r="C551">
        <v>15.278909155303699</v>
      </c>
    </row>
    <row r="552" spans="1:4" x14ac:dyDescent="0.3">
      <c r="A552" t="s">
        <v>47</v>
      </c>
      <c r="B552">
        <v>2016</v>
      </c>
      <c r="C552">
        <v>11.61075750974913</v>
      </c>
    </row>
    <row r="553" spans="1:4" x14ac:dyDescent="0.3">
      <c r="A553" t="s">
        <v>47</v>
      </c>
      <c r="B553">
        <v>2017</v>
      </c>
      <c r="C553">
        <v>10.83798455539414</v>
      </c>
    </row>
    <row r="554" spans="1:4" x14ac:dyDescent="0.3">
      <c r="A554" t="s">
        <v>47</v>
      </c>
      <c r="B554">
        <v>2018</v>
      </c>
      <c r="C554">
        <v>8.2256169212690953</v>
      </c>
      <c r="D554">
        <v>6.73</v>
      </c>
    </row>
    <row r="555" spans="1:4" x14ac:dyDescent="0.3">
      <c r="A555" t="s">
        <v>47</v>
      </c>
      <c r="B555">
        <v>2019</v>
      </c>
      <c r="C555">
        <v>4.9793003247179506</v>
      </c>
      <c r="D555">
        <v>7.79</v>
      </c>
    </row>
    <row r="556" spans="1:4" x14ac:dyDescent="0.3">
      <c r="A556" t="s">
        <v>47</v>
      </c>
      <c r="B556">
        <v>2020</v>
      </c>
      <c r="C556">
        <v>9.1289850357839946</v>
      </c>
      <c r="D556">
        <v>9.07</v>
      </c>
    </row>
    <row r="557" spans="1:4" x14ac:dyDescent="0.3">
      <c r="A557" t="s">
        <v>47</v>
      </c>
      <c r="B557">
        <v>2021</v>
      </c>
      <c r="C557">
        <v>12.92238572978736</v>
      </c>
      <c r="D557">
        <v>8.5</v>
      </c>
    </row>
    <row r="558" spans="1:4" x14ac:dyDescent="0.3">
      <c r="A558" t="s">
        <v>47</v>
      </c>
      <c r="B558">
        <v>2022</v>
      </c>
      <c r="C558">
        <v>14.577073709304431</v>
      </c>
      <c r="D558">
        <v>9.3800000000000008</v>
      </c>
    </row>
    <row r="559" spans="1:4" x14ac:dyDescent="0.3">
      <c r="A559" t="s">
        <v>47</v>
      </c>
      <c r="B559">
        <v>2023</v>
      </c>
      <c r="C559">
        <v>16.53208887728557</v>
      </c>
      <c r="D559">
        <v>14.26</v>
      </c>
    </row>
    <row r="560" spans="1:4" x14ac:dyDescent="0.3">
      <c r="A560" t="s">
        <v>47</v>
      </c>
      <c r="B560">
        <v>2024</v>
      </c>
      <c r="C560">
        <v>17.990271097507652</v>
      </c>
      <c r="D560">
        <v>17.25</v>
      </c>
    </row>
    <row r="561" spans="1:4" x14ac:dyDescent="0.3">
      <c r="A561" t="s">
        <v>48</v>
      </c>
    </row>
    <row r="562" spans="1:4" x14ac:dyDescent="0.3">
      <c r="A562" t="s">
        <v>48</v>
      </c>
      <c r="B562">
        <v>2013</v>
      </c>
      <c r="C562">
        <v>18.877005347593581</v>
      </c>
    </row>
    <row r="563" spans="1:4" x14ac:dyDescent="0.3">
      <c r="A563" t="s">
        <v>48</v>
      </c>
      <c r="B563">
        <v>2014</v>
      </c>
      <c r="C563">
        <v>21.720969089390142</v>
      </c>
    </row>
    <row r="564" spans="1:4" x14ac:dyDescent="0.3">
      <c r="A564" t="s">
        <v>48</v>
      </c>
      <c r="B564">
        <v>2015</v>
      </c>
      <c r="C564">
        <v>20.27027027027027</v>
      </c>
    </row>
    <row r="565" spans="1:4" x14ac:dyDescent="0.3">
      <c r="A565" t="s">
        <v>48</v>
      </c>
      <c r="B565">
        <v>2016</v>
      </c>
      <c r="C565">
        <v>15.66265060240964</v>
      </c>
    </row>
    <row r="566" spans="1:4" x14ac:dyDescent="0.3">
      <c r="A566" t="s">
        <v>48</v>
      </c>
      <c r="B566">
        <v>2017</v>
      </c>
      <c r="C566">
        <v>17.995385798513201</v>
      </c>
    </row>
    <row r="567" spans="1:4" x14ac:dyDescent="0.3">
      <c r="A567" t="s">
        <v>48</v>
      </c>
      <c r="B567">
        <v>2018</v>
      </c>
      <c r="C567">
        <v>18.98260295089187</v>
      </c>
      <c r="D567">
        <v>11.49</v>
      </c>
    </row>
    <row r="568" spans="1:4" x14ac:dyDescent="0.3">
      <c r="A568" t="s">
        <v>48</v>
      </c>
      <c r="B568">
        <v>2019</v>
      </c>
      <c r="C568">
        <v>19.425925925925931</v>
      </c>
      <c r="D568">
        <v>20.73</v>
      </c>
    </row>
    <row r="569" spans="1:4" x14ac:dyDescent="0.3">
      <c r="A569" t="s">
        <v>48</v>
      </c>
      <c r="B569">
        <v>2020</v>
      </c>
      <c r="C569">
        <v>19.465275513531139</v>
      </c>
      <c r="D569">
        <v>22.16</v>
      </c>
    </row>
    <row r="570" spans="1:4" x14ac:dyDescent="0.3">
      <c r="A570" t="s">
        <v>48</v>
      </c>
      <c r="B570">
        <v>2021</v>
      </c>
      <c r="C570">
        <v>19.384129490722461</v>
      </c>
      <c r="D570">
        <v>15.05</v>
      </c>
    </row>
    <row r="571" spans="1:4" x14ac:dyDescent="0.3">
      <c r="A571" t="s">
        <v>48</v>
      </c>
      <c r="B571">
        <v>2022</v>
      </c>
      <c r="C571">
        <v>13.8257369737844</v>
      </c>
      <c r="D571">
        <v>16.34</v>
      </c>
    </row>
    <row r="572" spans="1:4" x14ac:dyDescent="0.3">
      <c r="A572" t="s">
        <v>48</v>
      </c>
      <c r="B572">
        <v>2023</v>
      </c>
      <c r="C572">
        <v>16.55495978552279</v>
      </c>
      <c r="D572">
        <v>20.93</v>
      </c>
    </row>
    <row r="573" spans="1:4" x14ac:dyDescent="0.3">
      <c r="A573" t="s">
        <v>48</v>
      </c>
      <c r="B573">
        <v>2024</v>
      </c>
      <c r="C573">
        <v>15.7230643179025</v>
      </c>
      <c r="D573">
        <v>12.91</v>
      </c>
    </row>
    <row r="574" spans="1:4" x14ac:dyDescent="0.3">
      <c r="A574" t="s">
        <v>49</v>
      </c>
    </row>
    <row r="575" spans="1:4" x14ac:dyDescent="0.3">
      <c r="A575" t="s">
        <v>49</v>
      </c>
      <c r="B575">
        <v>2013</v>
      </c>
      <c r="C575">
        <v>38.247917192628123</v>
      </c>
    </row>
    <row r="576" spans="1:4" x14ac:dyDescent="0.3">
      <c r="A576" t="s">
        <v>49</v>
      </c>
      <c r="B576">
        <v>2014</v>
      </c>
      <c r="C576">
        <v>35.614875655943408</v>
      </c>
    </row>
    <row r="577" spans="1:4" x14ac:dyDescent="0.3">
      <c r="A577" t="s">
        <v>49</v>
      </c>
      <c r="B577">
        <v>2015</v>
      </c>
      <c r="C577">
        <v>31.149097815764481</v>
      </c>
    </row>
    <row r="578" spans="1:4" x14ac:dyDescent="0.3">
      <c r="A578" t="s">
        <v>49</v>
      </c>
      <c r="B578">
        <v>2016</v>
      </c>
      <c r="C578">
        <v>30.997557768175842</v>
      </c>
    </row>
    <row r="579" spans="1:4" x14ac:dyDescent="0.3">
      <c r="A579" t="s">
        <v>49</v>
      </c>
      <c r="B579">
        <v>2017</v>
      </c>
      <c r="C579">
        <v>26.25663440524508</v>
      </c>
    </row>
    <row r="580" spans="1:4" x14ac:dyDescent="0.3">
      <c r="A580" t="s">
        <v>49</v>
      </c>
      <c r="B580">
        <v>2018</v>
      </c>
      <c r="C580">
        <v>24.627319744447821</v>
      </c>
      <c r="D580">
        <v>14.16</v>
      </c>
    </row>
    <row r="581" spans="1:4" x14ac:dyDescent="0.3">
      <c r="A581" t="s">
        <v>49</v>
      </c>
      <c r="B581">
        <v>2019</v>
      </c>
      <c r="C581">
        <v>16.576917479260661</v>
      </c>
      <c r="D581">
        <v>13.63</v>
      </c>
    </row>
    <row r="582" spans="1:4" x14ac:dyDescent="0.3">
      <c r="A582" t="s">
        <v>49</v>
      </c>
      <c r="B582">
        <v>2020</v>
      </c>
      <c r="C582">
        <v>14.792735338971299</v>
      </c>
      <c r="D582">
        <v>-9.41</v>
      </c>
    </row>
    <row r="583" spans="1:4" x14ac:dyDescent="0.3">
      <c r="A583" t="s">
        <v>49</v>
      </c>
      <c r="B583">
        <v>2021</v>
      </c>
      <c r="C583">
        <v>10.495114721703811</v>
      </c>
      <c r="D583">
        <v>31.88</v>
      </c>
    </row>
    <row r="584" spans="1:4" x14ac:dyDescent="0.3">
      <c r="A584" t="s">
        <v>49</v>
      </c>
      <c r="B584">
        <v>2022</v>
      </c>
      <c r="C584">
        <v>8.2878357720026212</v>
      </c>
      <c r="D584">
        <v>10.94</v>
      </c>
    </row>
    <row r="585" spans="1:4" x14ac:dyDescent="0.3">
      <c r="A585" t="s">
        <v>49</v>
      </c>
      <c r="B585">
        <v>2023</v>
      </c>
      <c r="C585">
        <v>8.0574826560951447</v>
      </c>
      <c r="D585">
        <v>5.39</v>
      </c>
    </row>
    <row r="586" spans="1:4" x14ac:dyDescent="0.3">
      <c r="A586" t="s">
        <v>49</v>
      </c>
      <c r="B586">
        <v>2024</v>
      </c>
      <c r="C586">
        <v>7.7328487051340291</v>
      </c>
      <c r="D586">
        <v>16.850000000000001</v>
      </c>
    </row>
    <row r="587" spans="1:4" x14ac:dyDescent="0.3">
      <c r="A587" t="s">
        <v>50</v>
      </c>
    </row>
    <row r="588" spans="1:4" x14ac:dyDescent="0.3">
      <c r="A588" t="s">
        <v>50</v>
      </c>
      <c r="B588">
        <v>2013</v>
      </c>
      <c r="C588">
        <v>17886.36363636364</v>
      </c>
    </row>
    <row r="589" spans="1:4" x14ac:dyDescent="0.3">
      <c r="A589" t="s">
        <v>50</v>
      </c>
      <c r="B589">
        <v>2014</v>
      </c>
      <c r="C589">
        <v>10772.72727272727</v>
      </c>
    </row>
    <row r="590" spans="1:4" x14ac:dyDescent="0.3">
      <c r="A590" t="s">
        <v>50</v>
      </c>
      <c r="B590">
        <v>2015</v>
      </c>
      <c r="C590">
        <v>4939.3939393939399</v>
      </c>
    </row>
    <row r="591" spans="1:4" x14ac:dyDescent="0.3">
      <c r="A591" t="s">
        <v>50</v>
      </c>
      <c r="B591">
        <v>2016</v>
      </c>
      <c r="C591">
        <v>1534.775888717156</v>
      </c>
    </row>
    <row r="592" spans="1:4" x14ac:dyDescent="0.3">
      <c r="A592" t="s">
        <v>50</v>
      </c>
      <c r="B592">
        <v>2017</v>
      </c>
      <c r="C592">
        <v>1692.8571428571429</v>
      </c>
    </row>
    <row r="593" spans="1:4" x14ac:dyDescent="0.3">
      <c r="A593" t="s">
        <v>50</v>
      </c>
      <c r="B593">
        <v>2018</v>
      </c>
      <c r="C593">
        <v>2242</v>
      </c>
      <c r="D593">
        <v>20.13</v>
      </c>
    </row>
    <row r="594" spans="1:4" x14ac:dyDescent="0.3">
      <c r="A594" t="s">
        <v>50</v>
      </c>
      <c r="B594">
        <v>2019</v>
      </c>
      <c r="C594">
        <v>120.93023255813949</v>
      </c>
      <c r="D594">
        <v>20.72</v>
      </c>
    </row>
    <row r="595" spans="1:4" x14ac:dyDescent="0.3">
      <c r="A595" t="s">
        <v>50</v>
      </c>
      <c r="B595">
        <v>2020</v>
      </c>
      <c r="C595">
        <v>-138.54748603351959</v>
      </c>
      <c r="D595">
        <v>20.76</v>
      </c>
    </row>
    <row r="596" spans="1:4" x14ac:dyDescent="0.3">
      <c r="A596" t="s">
        <v>50</v>
      </c>
      <c r="B596">
        <v>2021</v>
      </c>
      <c r="C596">
        <v>-1094.1489361702129</v>
      </c>
      <c r="D596">
        <v>-1.93</v>
      </c>
    </row>
    <row r="597" spans="1:4" x14ac:dyDescent="0.3">
      <c r="A597" t="s">
        <v>50</v>
      </c>
      <c r="B597">
        <v>2022</v>
      </c>
      <c r="C597">
        <v>-48.769230769230766</v>
      </c>
      <c r="D597">
        <v>6.89</v>
      </c>
    </row>
    <row r="598" spans="1:4" x14ac:dyDescent="0.3">
      <c r="A598" t="s">
        <v>50</v>
      </c>
      <c r="B598">
        <v>2023</v>
      </c>
      <c r="C598">
        <v>-40.797940797940797</v>
      </c>
      <c r="D598">
        <v>18.79</v>
      </c>
    </row>
    <row r="599" spans="1:4" x14ac:dyDescent="0.3">
      <c r="A599" t="s">
        <v>50</v>
      </c>
      <c r="B599">
        <v>2024</v>
      </c>
      <c r="C599">
        <v>892.56830601092895</v>
      </c>
      <c r="D599">
        <v>19.309999999999999</v>
      </c>
    </row>
    <row r="600" spans="1:4" x14ac:dyDescent="0.3">
      <c r="A600" t="s">
        <v>51</v>
      </c>
    </row>
    <row r="601" spans="1:4" x14ac:dyDescent="0.3">
      <c r="A601" t="s">
        <v>51</v>
      </c>
      <c r="B601">
        <v>2013</v>
      </c>
      <c r="C601">
        <v>13.90563564875492</v>
      </c>
    </row>
    <row r="602" spans="1:4" x14ac:dyDescent="0.3">
      <c r="A602" t="s">
        <v>51</v>
      </c>
      <c r="B602">
        <v>2014</v>
      </c>
      <c r="C602">
        <v>15.57005418555789</v>
      </c>
    </row>
    <row r="603" spans="1:4" x14ac:dyDescent="0.3">
      <c r="A603" t="s">
        <v>51</v>
      </c>
      <c r="B603">
        <v>2015</v>
      </c>
      <c r="C603">
        <v>16.854565952649381</v>
      </c>
    </row>
    <row r="604" spans="1:4" x14ac:dyDescent="0.3">
      <c r="A604" t="s">
        <v>51</v>
      </c>
      <c r="B604">
        <v>2016</v>
      </c>
      <c r="C604">
        <v>12.91817359855335</v>
      </c>
    </row>
    <row r="605" spans="1:4" x14ac:dyDescent="0.3">
      <c r="A605" t="s">
        <v>51</v>
      </c>
      <c r="B605">
        <v>2017</v>
      </c>
      <c r="C605">
        <v>13.891310665504211</v>
      </c>
    </row>
    <row r="606" spans="1:4" x14ac:dyDescent="0.3">
      <c r="A606" t="s">
        <v>51</v>
      </c>
      <c r="B606">
        <v>2018</v>
      </c>
      <c r="C606">
        <v>15.12520447967786</v>
      </c>
      <c r="D606">
        <v>19.87</v>
      </c>
    </row>
    <row r="607" spans="1:4" x14ac:dyDescent="0.3">
      <c r="A607" t="s">
        <v>51</v>
      </c>
      <c r="B607">
        <v>2019</v>
      </c>
      <c r="C607">
        <v>12.36978190811662</v>
      </c>
      <c r="D607">
        <v>21.95</v>
      </c>
    </row>
    <row r="608" spans="1:4" x14ac:dyDescent="0.3">
      <c r="A608" t="s">
        <v>51</v>
      </c>
      <c r="B608">
        <v>2020</v>
      </c>
      <c r="C608">
        <v>12.72942057798139</v>
      </c>
      <c r="D608">
        <v>24.32</v>
      </c>
    </row>
    <row r="609" spans="1:4" x14ac:dyDescent="0.3">
      <c r="A609" t="s">
        <v>51</v>
      </c>
      <c r="B609">
        <v>2021</v>
      </c>
      <c r="C609">
        <v>6.5398362734924476</v>
      </c>
      <c r="D609">
        <v>19.559999999999999</v>
      </c>
    </row>
    <row r="610" spans="1:4" x14ac:dyDescent="0.3">
      <c r="A610" t="s">
        <v>51</v>
      </c>
      <c r="B610">
        <v>2022</v>
      </c>
      <c r="C610">
        <v>9.6670719946328987</v>
      </c>
      <c r="D610">
        <v>16.43</v>
      </c>
    </row>
    <row r="611" spans="1:4" x14ac:dyDescent="0.3">
      <c r="A611" t="s">
        <v>51</v>
      </c>
      <c r="B611">
        <v>2023</v>
      </c>
      <c r="C611">
        <v>13.5293471495002</v>
      </c>
      <c r="D611">
        <v>16.05</v>
      </c>
    </row>
    <row r="612" spans="1:4" x14ac:dyDescent="0.3">
      <c r="A612" t="s">
        <v>51</v>
      </c>
      <c r="B612">
        <v>2024</v>
      </c>
      <c r="C612">
        <v>14.25227319776422</v>
      </c>
      <c r="D612">
        <v>15.5</v>
      </c>
    </row>
    <row r="613" spans="1:4" x14ac:dyDescent="0.3">
      <c r="A613" t="s">
        <v>52</v>
      </c>
    </row>
    <row r="614" spans="1:4" x14ac:dyDescent="0.3">
      <c r="A614" t="s">
        <v>52</v>
      </c>
      <c r="B614">
        <v>2013</v>
      </c>
      <c r="C614">
        <v>24.817076380481129</v>
      </c>
    </row>
    <row r="615" spans="1:4" x14ac:dyDescent="0.3">
      <c r="A615" t="s">
        <v>52</v>
      </c>
      <c r="B615">
        <v>2014</v>
      </c>
      <c r="C615">
        <v>23.929934875364921</v>
      </c>
    </row>
    <row r="616" spans="1:4" x14ac:dyDescent="0.3">
      <c r="A616" t="s">
        <v>52</v>
      </c>
      <c r="B616">
        <v>2015</v>
      </c>
      <c r="C616">
        <v>24.38505203405866</v>
      </c>
    </row>
    <row r="617" spans="1:4" x14ac:dyDescent="0.3">
      <c r="A617" t="s">
        <v>52</v>
      </c>
      <c r="B617">
        <v>2016</v>
      </c>
      <c r="C617">
        <v>21.84665716506867</v>
      </c>
    </row>
    <row r="618" spans="1:4" x14ac:dyDescent="0.3">
      <c r="A618" t="s">
        <v>52</v>
      </c>
      <c r="B618">
        <v>2017</v>
      </c>
      <c r="C618">
        <v>20.806877156359629</v>
      </c>
    </row>
    <row r="619" spans="1:4" x14ac:dyDescent="0.3">
      <c r="A619" t="s">
        <v>52</v>
      </c>
      <c r="B619">
        <v>2018</v>
      </c>
      <c r="C619">
        <v>24.689247262141311</v>
      </c>
      <c r="D619">
        <v>11.81</v>
      </c>
    </row>
    <row r="620" spans="1:4" x14ac:dyDescent="0.3">
      <c r="A620" t="s">
        <v>52</v>
      </c>
      <c r="B620">
        <v>2019</v>
      </c>
      <c r="C620">
        <v>23.726673646609591</v>
      </c>
      <c r="D620">
        <v>10.52</v>
      </c>
    </row>
    <row r="621" spans="1:4" x14ac:dyDescent="0.3">
      <c r="A621" t="s">
        <v>52</v>
      </c>
      <c r="B621">
        <v>2020</v>
      </c>
      <c r="C621">
        <v>25.422459893048131</v>
      </c>
      <c r="D621">
        <v>11.23</v>
      </c>
    </row>
    <row r="622" spans="1:4" x14ac:dyDescent="0.3">
      <c r="A622" t="s">
        <v>52</v>
      </c>
      <c r="B622">
        <v>2021</v>
      </c>
      <c r="C622">
        <v>25.439090516168751</v>
      </c>
      <c r="D622">
        <v>9.98</v>
      </c>
    </row>
    <row r="623" spans="1:4" x14ac:dyDescent="0.3">
      <c r="A623" t="s">
        <v>52</v>
      </c>
      <c r="B623">
        <v>2022</v>
      </c>
      <c r="C623">
        <v>29.390842733908428</v>
      </c>
      <c r="D623">
        <v>12.18</v>
      </c>
    </row>
    <row r="624" spans="1:4" x14ac:dyDescent="0.3">
      <c r="A624" t="s">
        <v>52</v>
      </c>
      <c r="B624">
        <v>2023</v>
      </c>
      <c r="C624">
        <v>31.970506716883051</v>
      </c>
      <c r="D624">
        <v>15.79</v>
      </c>
    </row>
    <row r="625" spans="1:4" x14ac:dyDescent="0.3">
      <c r="A625" t="s">
        <v>52</v>
      </c>
      <c r="B625">
        <v>2024</v>
      </c>
      <c r="C625">
        <v>29.788006718416629</v>
      </c>
      <c r="D625">
        <v>13.2</v>
      </c>
    </row>
    <row r="626" spans="1:4" x14ac:dyDescent="0.3">
      <c r="A626" t="s">
        <v>53</v>
      </c>
    </row>
    <row r="627" spans="1:4" x14ac:dyDescent="0.3">
      <c r="A627" t="s">
        <v>53</v>
      </c>
      <c r="B627">
        <v>2013</v>
      </c>
      <c r="C627">
        <v>5.7537636626108473</v>
      </c>
    </row>
    <row r="628" spans="1:4" x14ac:dyDescent="0.3">
      <c r="A628" t="s">
        <v>53</v>
      </c>
      <c r="B628">
        <v>2014</v>
      </c>
      <c r="C628">
        <v>10.25871335384978</v>
      </c>
    </row>
    <row r="629" spans="1:4" x14ac:dyDescent="0.3">
      <c r="A629" t="s">
        <v>53</v>
      </c>
      <c r="B629">
        <v>2015</v>
      </c>
      <c r="C629">
        <v>7.0781032078103214</v>
      </c>
    </row>
    <row r="630" spans="1:4" x14ac:dyDescent="0.3">
      <c r="A630" t="s">
        <v>53</v>
      </c>
      <c r="B630">
        <v>2016</v>
      </c>
      <c r="C630">
        <v>13.79528784174261</v>
      </c>
    </row>
    <row r="631" spans="1:4" x14ac:dyDescent="0.3">
      <c r="A631" t="s">
        <v>53</v>
      </c>
      <c r="B631">
        <v>2017</v>
      </c>
      <c r="C631">
        <v>19.96650211565585</v>
      </c>
    </row>
    <row r="632" spans="1:4" x14ac:dyDescent="0.3">
      <c r="A632" t="s">
        <v>53</v>
      </c>
      <c r="B632">
        <v>2018</v>
      </c>
      <c r="C632">
        <v>19.8693292586543</v>
      </c>
      <c r="D632">
        <v>-1.81</v>
      </c>
    </row>
    <row r="633" spans="1:4" x14ac:dyDescent="0.3">
      <c r="A633" t="s">
        <v>53</v>
      </c>
      <c r="B633">
        <v>2019</v>
      </c>
      <c r="C633">
        <v>15.358898896584829</v>
      </c>
      <c r="D633">
        <v>1.58</v>
      </c>
    </row>
    <row r="634" spans="1:4" x14ac:dyDescent="0.3">
      <c r="A634" t="s">
        <v>53</v>
      </c>
      <c r="B634">
        <v>2020</v>
      </c>
      <c r="C634">
        <v>-1.966498249439192</v>
      </c>
      <c r="D634">
        <v>1.48</v>
      </c>
    </row>
    <row r="635" spans="1:4" x14ac:dyDescent="0.3">
      <c r="A635" t="s">
        <v>53</v>
      </c>
      <c r="B635">
        <v>2021</v>
      </c>
      <c r="C635">
        <v>19.458502476796799</v>
      </c>
      <c r="D635">
        <v>1.01</v>
      </c>
    </row>
    <row r="636" spans="1:4" x14ac:dyDescent="0.3">
      <c r="A636" t="s">
        <v>53</v>
      </c>
      <c r="B636">
        <v>2022</v>
      </c>
      <c r="C636">
        <v>19.266110008611971</v>
      </c>
      <c r="D636">
        <v>10.65</v>
      </c>
    </row>
    <row r="637" spans="1:4" x14ac:dyDescent="0.3">
      <c r="A637" t="s">
        <v>53</v>
      </c>
      <c r="B637">
        <v>2023</v>
      </c>
      <c r="C637">
        <v>8.3766935535817808</v>
      </c>
      <c r="D637">
        <v>14.84</v>
      </c>
    </row>
    <row r="638" spans="1:4" x14ac:dyDescent="0.3">
      <c r="A638" t="s">
        <v>53</v>
      </c>
      <c r="B638">
        <v>2024</v>
      </c>
      <c r="C638">
        <v>23.531624658564908</v>
      </c>
      <c r="D638">
        <v>8.01</v>
      </c>
    </row>
    <row r="639" spans="1:4" x14ac:dyDescent="0.3">
      <c r="A639" t="s">
        <v>54</v>
      </c>
    </row>
    <row r="640" spans="1:4" x14ac:dyDescent="0.3">
      <c r="A640" t="s">
        <v>54</v>
      </c>
      <c r="B640">
        <v>2015</v>
      </c>
      <c r="C640">
        <v>29.504504504504499</v>
      </c>
    </row>
    <row r="641" spans="1:4" x14ac:dyDescent="0.3">
      <c r="A641" t="s">
        <v>54</v>
      </c>
      <c r="B641">
        <v>2016</v>
      </c>
      <c r="C641">
        <v>34.870848708487081</v>
      </c>
    </row>
    <row r="642" spans="1:4" x14ac:dyDescent="0.3">
      <c r="A642" t="s">
        <v>54</v>
      </c>
      <c r="B642">
        <v>2017</v>
      </c>
      <c r="C642">
        <v>29.097839898348159</v>
      </c>
    </row>
    <row r="643" spans="1:4" x14ac:dyDescent="0.3">
      <c r="A643" t="s">
        <v>54</v>
      </c>
      <c r="B643">
        <v>2018</v>
      </c>
      <c r="C643">
        <v>23.141361256544499</v>
      </c>
    </row>
    <row r="644" spans="1:4" x14ac:dyDescent="0.3">
      <c r="A644" t="s">
        <v>54</v>
      </c>
      <c r="B644">
        <v>2019</v>
      </c>
      <c r="C644">
        <v>28.851540616246499</v>
      </c>
    </row>
    <row r="645" spans="1:4" x14ac:dyDescent="0.3">
      <c r="A645" t="s">
        <v>54</v>
      </c>
      <c r="B645">
        <v>2020</v>
      </c>
      <c r="C645">
        <v>39.041095890410958</v>
      </c>
      <c r="D645">
        <v>16.41</v>
      </c>
    </row>
    <row r="646" spans="1:4" x14ac:dyDescent="0.3">
      <c r="A646" t="s">
        <v>54</v>
      </c>
      <c r="B646">
        <v>2021</v>
      </c>
      <c r="C646">
        <v>12.84340659340659</v>
      </c>
      <c r="D646">
        <v>-10.68</v>
      </c>
    </row>
    <row r="647" spans="1:4" x14ac:dyDescent="0.3">
      <c r="A647" t="s">
        <v>54</v>
      </c>
      <c r="B647">
        <v>2022</v>
      </c>
      <c r="C647">
        <v>35.294117647058833</v>
      </c>
      <c r="D647">
        <v>4.33</v>
      </c>
    </row>
    <row r="648" spans="1:4" x14ac:dyDescent="0.3">
      <c r="A648" t="s">
        <v>54</v>
      </c>
      <c r="B648">
        <v>2023</v>
      </c>
      <c r="C648">
        <v>40.597255851493138</v>
      </c>
      <c r="D648">
        <v>19.29</v>
      </c>
    </row>
    <row r="649" spans="1:4" x14ac:dyDescent="0.3">
      <c r="A649" t="s">
        <v>54</v>
      </c>
      <c r="B649">
        <v>2024</v>
      </c>
      <c r="C649">
        <v>34.39628482972136</v>
      </c>
      <c r="D649">
        <v>17.96</v>
      </c>
    </row>
    <row r="650" spans="1:4" x14ac:dyDescent="0.3">
      <c r="A650" t="s">
        <v>55</v>
      </c>
    </row>
    <row r="651" spans="1:4" x14ac:dyDescent="0.3">
      <c r="A651" t="s">
        <v>55</v>
      </c>
      <c r="B651">
        <v>2013</v>
      </c>
      <c r="C651">
        <v>8.1639036596809511</v>
      </c>
    </row>
    <row r="652" spans="1:4" x14ac:dyDescent="0.3">
      <c r="A652" t="s">
        <v>55</v>
      </c>
      <c r="B652">
        <v>2014</v>
      </c>
      <c r="C652">
        <v>9.2700343824385083</v>
      </c>
    </row>
    <row r="653" spans="1:4" x14ac:dyDescent="0.3">
      <c r="A653" t="s">
        <v>55</v>
      </c>
      <c r="B653">
        <v>2015</v>
      </c>
      <c r="C653">
        <v>8.7307072103202028</v>
      </c>
    </row>
    <row r="654" spans="1:4" x14ac:dyDescent="0.3">
      <c r="A654" t="s">
        <v>55</v>
      </c>
      <c r="B654">
        <v>2016</v>
      </c>
      <c r="C654">
        <v>7.3665943600867676</v>
      </c>
    </row>
    <row r="655" spans="1:4" x14ac:dyDescent="0.3">
      <c r="A655" t="s">
        <v>55</v>
      </c>
      <c r="B655">
        <v>2017</v>
      </c>
      <c r="C655">
        <v>7.7775002081771998</v>
      </c>
    </row>
    <row r="656" spans="1:4" x14ac:dyDescent="0.3">
      <c r="A656" t="s">
        <v>55</v>
      </c>
      <c r="B656">
        <v>2018</v>
      </c>
      <c r="C656">
        <v>14.754451464675469</v>
      </c>
      <c r="D656">
        <v>10.8</v>
      </c>
    </row>
    <row r="657" spans="1:4" x14ac:dyDescent="0.3">
      <c r="A657" t="s">
        <v>55</v>
      </c>
      <c r="B657">
        <v>2019</v>
      </c>
      <c r="C657">
        <v>9.0099089020297267</v>
      </c>
      <c r="D657">
        <v>12.43</v>
      </c>
    </row>
    <row r="658" spans="1:4" x14ac:dyDescent="0.3">
      <c r="A658" t="s">
        <v>55</v>
      </c>
      <c r="B658">
        <v>2020</v>
      </c>
      <c r="C658">
        <v>10.53500115515364</v>
      </c>
      <c r="D658">
        <v>14.1</v>
      </c>
    </row>
    <row r="659" spans="1:4" x14ac:dyDescent="0.3">
      <c r="A659" t="s">
        <v>55</v>
      </c>
      <c r="B659">
        <v>2021</v>
      </c>
      <c r="C659">
        <v>12.29604054129309</v>
      </c>
      <c r="D659">
        <v>16.010000000000002</v>
      </c>
    </row>
    <row r="660" spans="1:4" x14ac:dyDescent="0.3">
      <c r="A660" t="s">
        <v>55</v>
      </c>
      <c r="B660">
        <v>2022</v>
      </c>
      <c r="C660">
        <v>14.854745469180671</v>
      </c>
      <c r="D660">
        <v>17.54</v>
      </c>
    </row>
    <row r="661" spans="1:4" x14ac:dyDescent="0.3">
      <c r="A661" t="s">
        <v>55</v>
      </c>
      <c r="B661">
        <v>2023</v>
      </c>
      <c r="C661">
        <v>13.80228732570891</v>
      </c>
      <c r="D661">
        <v>20.68</v>
      </c>
    </row>
    <row r="662" spans="1:4" x14ac:dyDescent="0.3">
      <c r="A662" t="s">
        <v>55</v>
      </c>
      <c r="B662">
        <v>2024</v>
      </c>
      <c r="C662">
        <v>13.0380853616381</v>
      </c>
      <c r="D662">
        <v>19.07</v>
      </c>
    </row>
    <row r="663" spans="1:4" x14ac:dyDescent="0.3">
      <c r="A663" t="s">
        <v>56</v>
      </c>
    </row>
    <row r="664" spans="1:4" x14ac:dyDescent="0.3">
      <c r="A664" t="s">
        <v>56</v>
      </c>
      <c r="B664">
        <v>2013</v>
      </c>
      <c r="C664">
        <v>33.267121513084028</v>
      </c>
    </row>
    <row r="665" spans="1:4" x14ac:dyDescent="0.3">
      <c r="A665" t="s">
        <v>56</v>
      </c>
      <c r="B665">
        <v>2014</v>
      </c>
      <c r="C665">
        <v>33.046958181884932</v>
      </c>
    </row>
    <row r="666" spans="1:4" x14ac:dyDescent="0.3">
      <c r="A666" t="s">
        <v>56</v>
      </c>
      <c r="B666">
        <v>2015</v>
      </c>
      <c r="C666">
        <v>30.813587093521559</v>
      </c>
    </row>
    <row r="667" spans="1:4" x14ac:dyDescent="0.3">
      <c r="A667" t="s">
        <v>56</v>
      </c>
      <c r="B667">
        <v>2016</v>
      </c>
      <c r="C667">
        <v>22.2610121836926</v>
      </c>
    </row>
    <row r="668" spans="1:4" x14ac:dyDescent="0.3">
      <c r="A668" t="s">
        <v>56</v>
      </c>
      <c r="B668">
        <v>2017</v>
      </c>
      <c r="C668">
        <v>22.57341693060134</v>
      </c>
    </row>
    <row r="669" spans="1:4" x14ac:dyDescent="0.3">
      <c r="A669" t="s">
        <v>56</v>
      </c>
      <c r="B669">
        <v>2018</v>
      </c>
      <c r="C669">
        <v>21.887259569605789</v>
      </c>
      <c r="D669">
        <v>6.56</v>
      </c>
    </row>
    <row r="670" spans="1:4" x14ac:dyDescent="0.3">
      <c r="A670" t="s">
        <v>56</v>
      </c>
      <c r="B670">
        <v>2019</v>
      </c>
      <c r="C670">
        <v>21.704063171065759</v>
      </c>
      <c r="D670">
        <v>6.49</v>
      </c>
    </row>
    <row r="671" spans="1:4" x14ac:dyDescent="0.3">
      <c r="A671" t="s">
        <v>56</v>
      </c>
      <c r="B671">
        <v>2020</v>
      </c>
      <c r="C671">
        <v>23.888897400150139</v>
      </c>
      <c r="D671">
        <v>4.93</v>
      </c>
    </row>
    <row r="672" spans="1:4" x14ac:dyDescent="0.3">
      <c r="A672" t="s">
        <v>56</v>
      </c>
      <c r="B672">
        <v>2021</v>
      </c>
      <c r="C672">
        <v>22.176744494341062</v>
      </c>
      <c r="D672">
        <v>4.68</v>
      </c>
    </row>
    <row r="673" spans="1:4" x14ac:dyDescent="0.3">
      <c r="A673" t="s">
        <v>56</v>
      </c>
      <c r="B673">
        <v>2022</v>
      </c>
      <c r="C673">
        <v>24.822672324073331</v>
      </c>
      <c r="D673">
        <v>7.23</v>
      </c>
    </row>
    <row r="674" spans="1:4" x14ac:dyDescent="0.3">
      <c r="A674" t="s">
        <v>56</v>
      </c>
      <c r="B674">
        <v>2023</v>
      </c>
      <c r="C674">
        <v>28.164268671824161</v>
      </c>
      <c r="D674">
        <v>10.3</v>
      </c>
    </row>
    <row r="675" spans="1:4" x14ac:dyDescent="0.3">
      <c r="A675" t="s">
        <v>56</v>
      </c>
      <c r="B675">
        <v>2024</v>
      </c>
      <c r="C675">
        <v>27.851074395694361</v>
      </c>
      <c r="D675">
        <v>7.95</v>
      </c>
    </row>
    <row r="676" spans="1:4" x14ac:dyDescent="0.3">
      <c r="A676" t="s">
        <v>57</v>
      </c>
    </row>
    <row r="677" spans="1:4" x14ac:dyDescent="0.3">
      <c r="A677" t="s">
        <v>57</v>
      </c>
      <c r="B677">
        <v>2013</v>
      </c>
      <c r="C677">
        <v>13.89045736871824</v>
      </c>
    </row>
    <row r="678" spans="1:4" x14ac:dyDescent="0.3">
      <c r="A678" t="s">
        <v>57</v>
      </c>
      <c r="B678">
        <v>2014</v>
      </c>
      <c r="C678">
        <v>8.3856700574966823</v>
      </c>
    </row>
    <row r="679" spans="1:4" x14ac:dyDescent="0.3">
      <c r="A679" t="s">
        <v>57</v>
      </c>
      <c r="B679">
        <v>2015</v>
      </c>
      <c r="C679">
        <v>-6.9004847447961222</v>
      </c>
    </row>
    <row r="680" spans="1:4" x14ac:dyDescent="0.3">
      <c r="A680" t="s">
        <v>57</v>
      </c>
      <c r="B680">
        <v>2016</v>
      </c>
      <c r="C680">
        <v>-9.5172031076581582</v>
      </c>
    </row>
    <row r="681" spans="1:4" x14ac:dyDescent="0.3">
      <c r="A681" t="s">
        <v>57</v>
      </c>
      <c r="B681">
        <v>2017</v>
      </c>
      <c r="C681">
        <v>-8.4456424079065595</v>
      </c>
    </row>
    <row r="682" spans="1:4" x14ac:dyDescent="0.3">
      <c r="A682" t="s">
        <v>57</v>
      </c>
      <c r="B682">
        <v>2018</v>
      </c>
      <c r="C682">
        <v>-5.3184136909659374</v>
      </c>
      <c r="D682">
        <v>10.94</v>
      </c>
    </row>
    <row r="683" spans="1:4" x14ac:dyDescent="0.3">
      <c r="A683" t="s">
        <v>57</v>
      </c>
      <c r="B683">
        <v>2019</v>
      </c>
      <c r="C683">
        <v>-7.5175315568022443</v>
      </c>
      <c r="D683">
        <v>19.48</v>
      </c>
    </row>
    <row r="684" spans="1:4" x14ac:dyDescent="0.3">
      <c r="A684" t="s">
        <v>57</v>
      </c>
      <c r="B684">
        <v>2020</v>
      </c>
      <c r="C684">
        <v>-1.2446712512057749</v>
      </c>
      <c r="D684">
        <v>14.34</v>
      </c>
    </row>
    <row r="685" spans="1:4" x14ac:dyDescent="0.3">
      <c r="A685" t="s">
        <v>57</v>
      </c>
      <c r="B685">
        <v>2021</v>
      </c>
      <c r="C685">
        <v>13.41191261983341</v>
      </c>
      <c r="D685">
        <v>12.17</v>
      </c>
    </row>
    <row r="686" spans="1:4" x14ac:dyDescent="0.3">
      <c r="A686" t="s">
        <v>57</v>
      </c>
      <c r="B686">
        <v>2022</v>
      </c>
      <c r="C686">
        <v>18.992280701754389</v>
      </c>
      <c r="D686">
        <v>18.82</v>
      </c>
    </row>
    <row r="687" spans="1:4" x14ac:dyDescent="0.3">
      <c r="A687" t="s">
        <v>57</v>
      </c>
      <c r="B687">
        <v>2023</v>
      </c>
      <c r="C687">
        <v>10.267142045160959</v>
      </c>
      <c r="D687">
        <v>9.84</v>
      </c>
    </row>
    <row r="688" spans="1:4" x14ac:dyDescent="0.3">
      <c r="A688" t="s">
        <v>57</v>
      </c>
      <c r="B688">
        <v>2024</v>
      </c>
      <c r="C688">
        <v>13.4105063633902</v>
      </c>
      <c r="D688">
        <v>1.4</v>
      </c>
    </row>
    <row r="689" spans="1:4" x14ac:dyDescent="0.3">
      <c r="A689" t="s">
        <v>58</v>
      </c>
    </row>
    <row r="690" spans="1:4" x14ac:dyDescent="0.3">
      <c r="A690" t="s">
        <v>58</v>
      </c>
      <c r="B690">
        <v>2023</v>
      </c>
      <c r="C690">
        <v>2.716438836312653E-2</v>
      </c>
    </row>
    <row r="691" spans="1:4" x14ac:dyDescent="0.3">
      <c r="A691" t="s">
        <v>58</v>
      </c>
      <c r="B691">
        <v>2024</v>
      </c>
      <c r="C691">
        <v>1.1534564165953991</v>
      </c>
    </row>
    <row r="692" spans="1:4" x14ac:dyDescent="0.3">
      <c r="A692" t="s">
        <v>59</v>
      </c>
    </row>
    <row r="693" spans="1:4" x14ac:dyDescent="0.3">
      <c r="A693" t="s">
        <v>59</v>
      </c>
      <c r="B693">
        <v>2013</v>
      </c>
      <c r="C693">
        <v>14.52288845905867</v>
      </c>
    </row>
    <row r="694" spans="1:4" x14ac:dyDescent="0.3">
      <c r="A694" t="s">
        <v>59</v>
      </c>
      <c r="B694">
        <v>2014</v>
      </c>
      <c r="C694">
        <v>11.565971693806119</v>
      </c>
    </row>
    <row r="695" spans="1:4" x14ac:dyDescent="0.3">
      <c r="A695" t="s">
        <v>59</v>
      </c>
      <c r="B695">
        <v>2015</v>
      </c>
      <c r="C695">
        <v>18.0633147113594</v>
      </c>
    </row>
    <row r="696" spans="1:4" x14ac:dyDescent="0.3">
      <c r="A696" t="s">
        <v>59</v>
      </c>
      <c r="B696">
        <v>2016</v>
      </c>
      <c r="C696">
        <v>15.04534212695796</v>
      </c>
    </row>
    <row r="697" spans="1:4" x14ac:dyDescent="0.3">
      <c r="A697" t="s">
        <v>59</v>
      </c>
      <c r="B697">
        <v>2017</v>
      </c>
      <c r="C697">
        <v>6.0082939531295203</v>
      </c>
    </row>
    <row r="698" spans="1:4" x14ac:dyDescent="0.3">
      <c r="A698" t="s">
        <v>59</v>
      </c>
      <c r="B698">
        <v>2018</v>
      </c>
      <c r="C698">
        <v>0.76507650765076507</v>
      </c>
      <c r="D698">
        <v>-1.92</v>
      </c>
    </row>
    <row r="699" spans="1:4" x14ac:dyDescent="0.3">
      <c r="A699" t="s">
        <v>59</v>
      </c>
      <c r="B699">
        <v>2019</v>
      </c>
      <c r="C699">
        <v>5.7858230417864993</v>
      </c>
      <c r="D699">
        <v>1.1100000000000001</v>
      </c>
    </row>
    <row r="700" spans="1:4" x14ac:dyDescent="0.3">
      <c r="A700" t="s">
        <v>59</v>
      </c>
      <c r="B700">
        <v>2020</v>
      </c>
      <c r="C700">
        <v>9.2821569637643826</v>
      </c>
      <c r="D700">
        <v>-2.41</v>
      </c>
    </row>
    <row r="701" spans="1:4" x14ac:dyDescent="0.3">
      <c r="A701" t="s">
        <v>59</v>
      </c>
      <c r="B701">
        <v>2021</v>
      </c>
      <c r="C701">
        <v>5.6731233197766597</v>
      </c>
      <c r="D701">
        <v>-6.76</v>
      </c>
    </row>
    <row r="702" spans="1:4" x14ac:dyDescent="0.3">
      <c r="A702" t="s">
        <v>59</v>
      </c>
      <c r="B702">
        <v>2022</v>
      </c>
      <c r="C702">
        <v>10.00861326442722</v>
      </c>
      <c r="D702">
        <v>-0.23</v>
      </c>
    </row>
    <row r="703" spans="1:4" x14ac:dyDescent="0.3">
      <c r="A703" t="s">
        <v>59</v>
      </c>
      <c r="B703">
        <v>2023</v>
      </c>
      <c r="C703">
        <v>7.9446025014761927</v>
      </c>
      <c r="D703">
        <v>5.12</v>
      </c>
    </row>
    <row r="704" spans="1:4" x14ac:dyDescent="0.3">
      <c r="A704" t="s">
        <v>59</v>
      </c>
      <c r="B704">
        <v>2024</v>
      </c>
      <c r="C704">
        <v>8.2805299539170516</v>
      </c>
      <c r="D704">
        <v>4.68</v>
      </c>
    </row>
    <row r="705" spans="1:4" x14ac:dyDescent="0.3">
      <c r="A705" t="s">
        <v>60</v>
      </c>
    </row>
    <row r="706" spans="1:4" x14ac:dyDescent="0.3">
      <c r="A706" t="s">
        <v>60</v>
      </c>
      <c r="B706">
        <v>2013</v>
      </c>
      <c r="C706">
        <v>5.443891004980955</v>
      </c>
    </row>
    <row r="707" spans="1:4" x14ac:dyDescent="0.3">
      <c r="A707" t="s">
        <v>60</v>
      </c>
      <c r="B707">
        <v>2014</v>
      </c>
      <c r="C707">
        <v>1.898554831396996</v>
      </c>
    </row>
    <row r="708" spans="1:4" x14ac:dyDescent="0.3">
      <c r="A708" t="s">
        <v>60</v>
      </c>
      <c r="B708">
        <v>2015</v>
      </c>
      <c r="C708">
        <v>7.7254374158815624</v>
      </c>
    </row>
    <row r="709" spans="1:4" x14ac:dyDescent="0.3">
      <c r="A709" t="s">
        <v>60</v>
      </c>
      <c r="B709">
        <v>2016</v>
      </c>
      <c r="C709">
        <v>-2.5361172624696828</v>
      </c>
    </row>
    <row r="710" spans="1:4" x14ac:dyDescent="0.3">
      <c r="A710" t="s">
        <v>60</v>
      </c>
      <c r="B710">
        <v>2017</v>
      </c>
      <c r="C710">
        <v>15.30887093213229</v>
      </c>
    </row>
    <row r="711" spans="1:4" x14ac:dyDescent="0.3">
      <c r="A711" t="s">
        <v>60</v>
      </c>
      <c r="B711">
        <v>2018</v>
      </c>
      <c r="C711">
        <v>21.83370240731481</v>
      </c>
      <c r="D711">
        <v>13.49</v>
      </c>
    </row>
    <row r="712" spans="1:4" x14ac:dyDescent="0.3">
      <c r="A712" t="s">
        <v>60</v>
      </c>
      <c r="B712">
        <v>2019</v>
      </c>
      <c r="C712">
        <v>21.62379652248886</v>
      </c>
      <c r="D712">
        <v>10.6</v>
      </c>
    </row>
    <row r="713" spans="1:4" x14ac:dyDescent="0.3">
      <c r="A713" t="s">
        <v>60</v>
      </c>
      <c r="B713">
        <v>2020</v>
      </c>
      <c r="C713">
        <v>10.707942839968309</v>
      </c>
      <c r="D713">
        <v>6.72</v>
      </c>
    </row>
    <row r="714" spans="1:4" x14ac:dyDescent="0.3">
      <c r="A714" t="s">
        <v>60</v>
      </c>
      <c r="B714">
        <v>2021</v>
      </c>
      <c r="C714">
        <v>16.835600034214359</v>
      </c>
      <c r="D714">
        <v>13.96</v>
      </c>
    </row>
    <row r="715" spans="1:4" x14ac:dyDescent="0.3">
      <c r="A715" t="s">
        <v>60</v>
      </c>
      <c r="B715">
        <v>2022</v>
      </c>
      <c r="C715">
        <v>31.11282820928125</v>
      </c>
      <c r="D715">
        <v>21.36</v>
      </c>
    </row>
    <row r="716" spans="1:4" x14ac:dyDescent="0.3">
      <c r="A716" t="s">
        <v>60</v>
      </c>
      <c r="B716">
        <v>2023</v>
      </c>
      <c r="C716">
        <v>6.300327269959662</v>
      </c>
      <c r="D716">
        <v>18.2</v>
      </c>
    </row>
    <row r="717" spans="1:4" x14ac:dyDescent="0.3">
      <c r="A717" t="s">
        <v>60</v>
      </c>
      <c r="B717">
        <v>2024</v>
      </c>
      <c r="C717">
        <v>11.5528718021347</v>
      </c>
      <c r="D717">
        <v>15.6</v>
      </c>
    </row>
    <row r="718" spans="1:4" x14ac:dyDescent="0.3">
      <c r="A718" t="s">
        <v>61</v>
      </c>
    </row>
    <row r="719" spans="1:4" x14ac:dyDescent="0.3">
      <c r="A719" t="s">
        <v>61</v>
      </c>
      <c r="B719">
        <v>2013</v>
      </c>
      <c r="C719">
        <v>14.659068579288659</v>
      </c>
    </row>
    <row r="720" spans="1:4" x14ac:dyDescent="0.3">
      <c r="A720" t="s">
        <v>61</v>
      </c>
      <c r="B720">
        <v>2014</v>
      </c>
      <c r="C720">
        <v>13.241458813665901</v>
      </c>
    </row>
    <row r="721" spans="1:4" x14ac:dyDescent="0.3">
      <c r="A721" t="s">
        <v>61</v>
      </c>
      <c r="B721">
        <v>2015</v>
      </c>
      <c r="C721">
        <v>14.01426250225672</v>
      </c>
    </row>
    <row r="722" spans="1:4" x14ac:dyDescent="0.3">
      <c r="A722" t="s">
        <v>61</v>
      </c>
      <c r="B722">
        <v>2016</v>
      </c>
      <c r="C722">
        <v>10.56228269991608</v>
      </c>
    </row>
    <row r="723" spans="1:4" x14ac:dyDescent="0.3">
      <c r="A723" t="s">
        <v>61</v>
      </c>
      <c r="B723">
        <v>2017</v>
      </c>
      <c r="C723">
        <v>13.03907305414112</v>
      </c>
    </row>
    <row r="724" spans="1:4" x14ac:dyDescent="0.3">
      <c r="A724" t="s">
        <v>61</v>
      </c>
      <c r="B724">
        <v>2018</v>
      </c>
      <c r="C724">
        <v>12.395024560291549</v>
      </c>
      <c r="D724">
        <v>18.32</v>
      </c>
    </row>
    <row r="725" spans="1:4" x14ac:dyDescent="0.3">
      <c r="A725" t="s">
        <v>61</v>
      </c>
      <c r="B725">
        <v>2019</v>
      </c>
      <c r="C725">
        <v>12.467766220730001</v>
      </c>
      <c r="D725">
        <v>20</v>
      </c>
    </row>
    <row r="726" spans="1:4" x14ac:dyDescent="0.3">
      <c r="A726" t="s">
        <v>61</v>
      </c>
      <c r="B726">
        <v>2020</v>
      </c>
      <c r="C726">
        <v>12.895238381079579</v>
      </c>
      <c r="D726">
        <v>20.239999999999998</v>
      </c>
    </row>
    <row r="727" spans="1:4" x14ac:dyDescent="0.3">
      <c r="A727" t="s">
        <v>61</v>
      </c>
      <c r="B727">
        <v>2021</v>
      </c>
      <c r="C727">
        <v>11.84505388965959</v>
      </c>
      <c r="D727">
        <v>9.9700000000000006</v>
      </c>
    </row>
    <row r="728" spans="1:4" x14ac:dyDescent="0.3">
      <c r="A728" t="s">
        <v>61</v>
      </c>
      <c r="B728">
        <v>2022</v>
      </c>
      <c r="C728">
        <v>12.506077690994671</v>
      </c>
      <c r="D728">
        <v>8.61</v>
      </c>
    </row>
    <row r="729" spans="1:4" x14ac:dyDescent="0.3">
      <c r="A729" t="s">
        <v>61</v>
      </c>
      <c r="B729">
        <v>2023</v>
      </c>
      <c r="C729">
        <v>13.348060171356</v>
      </c>
      <c r="D729">
        <v>10.9</v>
      </c>
    </row>
    <row r="730" spans="1:4" x14ac:dyDescent="0.3">
      <c r="A730" t="s">
        <v>61</v>
      </c>
      <c r="B730">
        <v>2024</v>
      </c>
      <c r="C730">
        <v>14.013018188532911</v>
      </c>
      <c r="D730">
        <v>13.52</v>
      </c>
    </row>
    <row r="731" spans="1:4" x14ac:dyDescent="0.3">
      <c r="A731" t="s">
        <v>62</v>
      </c>
    </row>
    <row r="732" spans="1:4" x14ac:dyDescent="0.3">
      <c r="A732" t="s">
        <v>62</v>
      </c>
      <c r="B732">
        <v>2019</v>
      </c>
      <c r="C732">
        <v>324.32098765432102</v>
      </c>
    </row>
    <row r="733" spans="1:4" x14ac:dyDescent="0.3">
      <c r="A733" t="s">
        <v>62</v>
      </c>
      <c r="B733">
        <v>2020</v>
      </c>
      <c r="C733">
        <v>270.45908183632741</v>
      </c>
    </row>
    <row r="734" spans="1:4" x14ac:dyDescent="0.3">
      <c r="A734" t="s">
        <v>62</v>
      </c>
      <c r="B734">
        <v>2021</v>
      </c>
      <c r="C734">
        <v>43.201626961069152</v>
      </c>
    </row>
    <row r="735" spans="1:4" x14ac:dyDescent="0.3">
      <c r="A735" t="s">
        <v>62</v>
      </c>
      <c r="B735">
        <v>2022</v>
      </c>
      <c r="C735">
        <v>36.382077967895569</v>
      </c>
    </row>
    <row r="736" spans="1:4" x14ac:dyDescent="0.3">
      <c r="A736" t="s">
        <v>62</v>
      </c>
      <c r="B736">
        <v>2023</v>
      </c>
      <c r="C736">
        <v>77.859970151190709</v>
      </c>
    </row>
    <row r="737" spans="1:4" x14ac:dyDescent="0.3">
      <c r="A737" t="s">
        <v>62</v>
      </c>
      <c r="B737">
        <v>2024</v>
      </c>
      <c r="C737">
        <v>49.447109865010212</v>
      </c>
      <c r="D737">
        <v>8.16</v>
      </c>
    </row>
    <row r="738" spans="1:4" x14ac:dyDescent="0.3">
      <c r="A738" t="s">
        <v>63</v>
      </c>
    </row>
    <row r="739" spans="1:4" x14ac:dyDescent="0.3">
      <c r="A739" t="s">
        <v>63</v>
      </c>
      <c r="B739">
        <v>2011</v>
      </c>
      <c r="C739">
        <v>35.483870967741943</v>
      </c>
    </row>
    <row r="740" spans="1:4" x14ac:dyDescent="0.3">
      <c r="A740" t="s">
        <v>63</v>
      </c>
      <c r="B740">
        <v>2012</v>
      </c>
      <c r="C740">
        <v>33.836589698046183</v>
      </c>
    </row>
    <row r="741" spans="1:4" x14ac:dyDescent="0.3">
      <c r="A741" t="s">
        <v>63</v>
      </c>
      <c r="B741">
        <v>2015</v>
      </c>
      <c r="C741">
        <v>24.22586520947177</v>
      </c>
    </row>
    <row r="742" spans="1:4" x14ac:dyDescent="0.3">
      <c r="A742" t="s">
        <v>63</v>
      </c>
      <c r="B742">
        <v>2016</v>
      </c>
      <c r="C742">
        <v>17.69443745280644</v>
      </c>
      <c r="D742">
        <v>30.58</v>
      </c>
    </row>
    <row r="743" spans="1:4" x14ac:dyDescent="0.3">
      <c r="A743" t="s">
        <v>63</v>
      </c>
      <c r="B743">
        <v>2017</v>
      </c>
      <c r="C743">
        <v>14.48053558145301</v>
      </c>
      <c r="D743">
        <v>21.82</v>
      </c>
    </row>
    <row r="744" spans="1:4" x14ac:dyDescent="0.3">
      <c r="A744" t="s">
        <v>63</v>
      </c>
      <c r="B744">
        <v>2018</v>
      </c>
      <c r="C744">
        <v>15.411490683229809</v>
      </c>
    </row>
    <row r="745" spans="1:4" x14ac:dyDescent="0.3">
      <c r="A745" t="s">
        <v>63</v>
      </c>
      <c r="B745">
        <v>2019</v>
      </c>
      <c r="C745">
        <v>42.801353814110911</v>
      </c>
    </row>
    <row r="746" spans="1:4" x14ac:dyDescent="0.3">
      <c r="A746" t="s">
        <v>63</v>
      </c>
      <c r="B746">
        <v>2020</v>
      </c>
      <c r="C746">
        <v>16.300527240773281</v>
      </c>
      <c r="D746">
        <v>14.82</v>
      </c>
    </row>
    <row r="747" spans="1:4" x14ac:dyDescent="0.3">
      <c r="A747" t="s">
        <v>63</v>
      </c>
      <c r="B747">
        <v>2021</v>
      </c>
      <c r="C747">
        <v>1.0437051532941941</v>
      </c>
      <c r="D747">
        <v>-7.96</v>
      </c>
    </row>
    <row r="748" spans="1:4" x14ac:dyDescent="0.3">
      <c r="A748" t="s">
        <v>63</v>
      </c>
      <c r="B748">
        <v>2022</v>
      </c>
      <c r="C748">
        <v>9.9785230464232608</v>
      </c>
      <c r="D748">
        <v>3.1</v>
      </c>
    </row>
    <row r="749" spans="1:4" x14ac:dyDescent="0.3">
      <c r="A749" t="s">
        <v>63</v>
      </c>
      <c r="B749">
        <v>2023</v>
      </c>
      <c r="C749">
        <v>3.8695411829740189</v>
      </c>
      <c r="D749">
        <v>-0.43</v>
      </c>
    </row>
    <row r="750" spans="1:4" x14ac:dyDescent="0.3">
      <c r="A750" t="s">
        <v>63</v>
      </c>
      <c r="B750">
        <v>2024</v>
      </c>
      <c r="C750">
        <v>8.8957582002404259</v>
      </c>
      <c r="D750">
        <v>-2.83</v>
      </c>
    </row>
    <row r="751" spans="1:4" x14ac:dyDescent="0.3">
      <c r="A751" t="s">
        <v>64</v>
      </c>
    </row>
    <row r="752" spans="1:4" x14ac:dyDescent="0.3">
      <c r="A752" t="s">
        <v>64</v>
      </c>
      <c r="B752">
        <v>2013</v>
      </c>
      <c r="C752">
        <v>395.14563106796118</v>
      </c>
    </row>
    <row r="753" spans="1:4" x14ac:dyDescent="0.3">
      <c r="A753" t="s">
        <v>64</v>
      </c>
      <c r="B753">
        <v>2014</v>
      </c>
      <c r="C753">
        <v>303.41614906832302</v>
      </c>
    </row>
    <row r="754" spans="1:4" x14ac:dyDescent="0.3">
      <c r="A754" t="s">
        <v>64</v>
      </c>
      <c r="B754">
        <v>2015</v>
      </c>
      <c r="C754">
        <v>245.11352418558741</v>
      </c>
    </row>
    <row r="755" spans="1:4" x14ac:dyDescent="0.3">
      <c r="A755" t="s">
        <v>64</v>
      </c>
      <c r="B755">
        <v>2016</v>
      </c>
      <c r="C755">
        <v>216.09411764705879</v>
      </c>
    </row>
    <row r="756" spans="1:4" x14ac:dyDescent="0.3">
      <c r="A756" t="s">
        <v>64</v>
      </c>
      <c r="B756">
        <v>2017</v>
      </c>
      <c r="C756">
        <v>206.29770992366409</v>
      </c>
    </row>
    <row r="757" spans="1:4" x14ac:dyDescent="0.3">
      <c r="A757" t="s">
        <v>64</v>
      </c>
      <c r="B757">
        <v>2018</v>
      </c>
      <c r="C757">
        <v>207.35751295336789</v>
      </c>
      <c r="D757">
        <v>9.9700000000000006</v>
      </c>
    </row>
    <row r="758" spans="1:4" x14ac:dyDescent="0.3">
      <c r="A758" t="s">
        <v>64</v>
      </c>
      <c r="B758">
        <v>2019</v>
      </c>
      <c r="C758">
        <v>208.80850194154911</v>
      </c>
      <c r="D758">
        <v>9.7200000000000006</v>
      </c>
    </row>
    <row r="759" spans="1:4" x14ac:dyDescent="0.3">
      <c r="A759" t="s">
        <v>64</v>
      </c>
      <c r="B759">
        <v>2020</v>
      </c>
      <c r="C759">
        <v>201.59141376757961</v>
      </c>
      <c r="D759">
        <v>9.61</v>
      </c>
    </row>
    <row r="760" spans="1:4" x14ac:dyDescent="0.3">
      <c r="A760" t="s">
        <v>64</v>
      </c>
      <c r="B760">
        <v>2021</v>
      </c>
      <c r="C760">
        <v>176.90306681270539</v>
      </c>
      <c r="D760">
        <v>6.1</v>
      </c>
    </row>
    <row r="761" spans="1:4" x14ac:dyDescent="0.3">
      <c r="A761" t="s">
        <v>64</v>
      </c>
      <c r="B761">
        <v>2022</v>
      </c>
      <c r="C761">
        <v>72.921332586786107</v>
      </c>
      <c r="D761">
        <v>7.44</v>
      </c>
    </row>
    <row r="762" spans="1:4" x14ac:dyDescent="0.3">
      <c r="A762" t="s">
        <v>64</v>
      </c>
      <c r="B762">
        <v>2023</v>
      </c>
      <c r="C762">
        <v>75.524349083895856</v>
      </c>
      <c r="D762">
        <v>8.9</v>
      </c>
    </row>
    <row r="763" spans="1:4" x14ac:dyDescent="0.3">
      <c r="A763" t="s">
        <v>64</v>
      </c>
      <c r="B763">
        <v>2024</v>
      </c>
      <c r="C763">
        <v>77.665101408732141</v>
      </c>
      <c r="D763">
        <v>10.34</v>
      </c>
    </row>
    <row r="764" spans="1:4" x14ac:dyDescent="0.3">
      <c r="A764" t="s">
        <v>65</v>
      </c>
    </row>
    <row r="765" spans="1:4" x14ac:dyDescent="0.3">
      <c r="A765" t="s">
        <v>65</v>
      </c>
      <c r="B765">
        <v>2013</v>
      </c>
      <c r="C765">
        <v>41.971620612397309</v>
      </c>
    </row>
    <row r="766" spans="1:4" x14ac:dyDescent="0.3">
      <c r="A766" t="s">
        <v>65</v>
      </c>
      <c r="B766">
        <v>2014</v>
      </c>
      <c r="C766">
        <v>61.863354037267079</v>
      </c>
    </row>
    <row r="767" spans="1:4" x14ac:dyDescent="0.3">
      <c r="A767" t="s">
        <v>65</v>
      </c>
      <c r="B767">
        <v>2015</v>
      </c>
      <c r="C767">
        <v>37.956564659427443</v>
      </c>
    </row>
    <row r="768" spans="1:4" x14ac:dyDescent="0.3">
      <c r="A768" t="s">
        <v>65</v>
      </c>
      <c r="B768">
        <v>2016</v>
      </c>
      <c r="C768">
        <v>39.341176470588238</v>
      </c>
    </row>
    <row r="769" spans="1:4" x14ac:dyDescent="0.3">
      <c r="A769" t="s">
        <v>65</v>
      </c>
      <c r="B769">
        <v>2017</v>
      </c>
      <c r="C769">
        <v>30.884223918575071</v>
      </c>
    </row>
    <row r="770" spans="1:4" x14ac:dyDescent="0.3">
      <c r="A770" t="s">
        <v>65</v>
      </c>
      <c r="B770">
        <v>2018</v>
      </c>
      <c r="C770">
        <v>28.80829015544041</v>
      </c>
      <c r="D770">
        <v>13.66</v>
      </c>
    </row>
    <row r="771" spans="1:4" x14ac:dyDescent="0.3">
      <c r="A771" t="s">
        <v>65</v>
      </c>
      <c r="B771">
        <v>2019</v>
      </c>
      <c r="C771">
        <v>30.983036991620679</v>
      </c>
      <c r="D771">
        <v>13.93</v>
      </c>
    </row>
    <row r="772" spans="1:4" x14ac:dyDescent="0.3">
      <c r="A772" t="s">
        <v>65</v>
      </c>
      <c r="B772">
        <v>2020</v>
      </c>
      <c r="C772">
        <v>28.127313101406369</v>
      </c>
      <c r="D772">
        <v>16.920000000000002</v>
      </c>
    </row>
    <row r="773" spans="1:4" x14ac:dyDescent="0.3">
      <c r="A773" t="s">
        <v>65</v>
      </c>
      <c r="B773">
        <v>2021</v>
      </c>
      <c r="C773">
        <v>26.53340635268346</v>
      </c>
      <c r="D773">
        <v>16.170000000000002</v>
      </c>
    </row>
    <row r="774" spans="1:4" x14ac:dyDescent="0.3">
      <c r="A774" t="s">
        <v>65</v>
      </c>
      <c r="B774">
        <v>2022</v>
      </c>
      <c r="C774">
        <v>27.645576707726761</v>
      </c>
      <c r="D774">
        <v>32.06</v>
      </c>
    </row>
    <row r="775" spans="1:4" x14ac:dyDescent="0.3">
      <c r="A775" t="s">
        <v>65</v>
      </c>
      <c r="B775">
        <v>2023</v>
      </c>
      <c r="C775">
        <v>26.579074252651878</v>
      </c>
      <c r="D775">
        <v>35.35</v>
      </c>
    </row>
    <row r="776" spans="1:4" x14ac:dyDescent="0.3">
      <c r="A776" t="s">
        <v>65</v>
      </c>
      <c r="B776">
        <v>2024</v>
      </c>
      <c r="C776">
        <v>22.904386052552699</v>
      </c>
      <c r="D776">
        <v>30.33</v>
      </c>
    </row>
    <row r="777" spans="1:4" x14ac:dyDescent="0.3">
      <c r="A777" t="s">
        <v>66</v>
      </c>
    </row>
    <row r="778" spans="1:4" x14ac:dyDescent="0.3">
      <c r="A778" t="s">
        <v>66</v>
      </c>
      <c r="B778">
        <v>2013</v>
      </c>
      <c r="C778">
        <v>20.685336405991681</v>
      </c>
    </row>
    <row r="779" spans="1:4" x14ac:dyDescent="0.3">
      <c r="A779" t="s">
        <v>66</v>
      </c>
      <c r="B779">
        <v>2014</v>
      </c>
      <c r="C779">
        <v>22.11352812459776</v>
      </c>
    </row>
    <row r="780" spans="1:4" x14ac:dyDescent="0.3">
      <c r="A780" t="s">
        <v>66</v>
      </c>
      <c r="B780">
        <v>2015</v>
      </c>
      <c r="C780">
        <v>13.075762849518499</v>
      </c>
    </row>
    <row r="781" spans="1:4" x14ac:dyDescent="0.3">
      <c r="A781" t="s">
        <v>66</v>
      </c>
      <c r="B781">
        <v>2016</v>
      </c>
      <c r="C781">
        <v>13.41537067794051</v>
      </c>
    </row>
    <row r="782" spans="1:4" x14ac:dyDescent="0.3">
      <c r="A782" t="s">
        <v>66</v>
      </c>
      <c r="B782">
        <v>2017</v>
      </c>
      <c r="C782">
        <v>13.60400295520183</v>
      </c>
    </row>
    <row r="783" spans="1:4" x14ac:dyDescent="0.3">
      <c r="A783" t="s">
        <v>66</v>
      </c>
      <c r="B783">
        <v>2018</v>
      </c>
      <c r="C783">
        <v>21.63970088375255</v>
      </c>
      <c r="D783">
        <v>6.04</v>
      </c>
    </row>
    <row r="784" spans="1:4" x14ac:dyDescent="0.3">
      <c r="A784" t="s">
        <v>66</v>
      </c>
      <c r="B784">
        <v>2019</v>
      </c>
      <c r="C784">
        <v>15.0488957807068</v>
      </c>
      <c r="D784">
        <v>7.19</v>
      </c>
    </row>
    <row r="785" spans="1:4" x14ac:dyDescent="0.3">
      <c r="A785" t="s">
        <v>66</v>
      </c>
      <c r="B785">
        <v>2020</v>
      </c>
      <c r="C785">
        <v>-0.80312241987540345</v>
      </c>
      <c r="D785">
        <v>1.08</v>
      </c>
    </row>
    <row r="786" spans="1:4" x14ac:dyDescent="0.3">
      <c r="A786" t="s">
        <v>66</v>
      </c>
      <c r="B786">
        <v>2021</v>
      </c>
      <c r="C786">
        <v>3.6361887355105571</v>
      </c>
      <c r="D786">
        <v>-0.42</v>
      </c>
    </row>
    <row r="787" spans="1:4" x14ac:dyDescent="0.3">
      <c r="A787" t="s">
        <v>66</v>
      </c>
      <c r="B787">
        <v>2022</v>
      </c>
      <c r="C787">
        <v>15.39163465823483</v>
      </c>
      <c r="D787">
        <v>1.48</v>
      </c>
    </row>
    <row r="788" spans="1:4" x14ac:dyDescent="0.3">
      <c r="A788" t="s">
        <v>66</v>
      </c>
      <c r="B788">
        <v>2023</v>
      </c>
      <c r="C788">
        <v>20.178831210304089</v>
      </c>
      <c r="D788">
        <v>5.66</v>
      </c>
    </row>
    <row r="789" spans="1:4" x14ac:dyDescent="0.3">
      <c r="A789" t="s">
        <v>66</v>
      </c>
      <c r="B789">
        <v>2024</v>
      </c>
      <c r="C789">
        <v>18.537543435564281</v>
      </c>
      <c r="D789">
        <v>5.84</v>
      </c>
    </row>
    <row r="790" spans="1:4" x14ac:dyDescent="0.3">
      <c r="A790" t="s">
        <v>67</v>
      </c>
    </row>
    <row r="791" spans="1:4" x14ac:dyDescent="0.3">
      <c r="A791" t="s">
        <v>67</v>
      </c>
      <c r="B791">
        <v>2013</v>
      </c>
      <c r="C791">
        <v>12.9808702964053</v>
      </c>
    </row>
    <row r="792" spans="1:4" x14ac:dyDescent="0.3">
      <c r="A792" t="s">
        <v>67</v>
      </c>
      <c r="B792">
        <v>2014</v>
      </c>
      <c r="C792">
        <v>13.27688872348344</v>
      </c>
    </row>
    <row r="793" spans="1:4" x14ac:dyDescent="0.3">
      <c r="A793" t="s">
        <v>67</v>
      </c>
      <c r="B793">
        <v>2015</v>
      </c>
      <c r="C793">
        <v>15.663294678838721</v>
      </c>
    </row>
    <row r="794" spans="1:4" x14ac:dyDescent="0.3">
      <c r="A794" t="s">
        <v>67</v>
      </c>
      <c r="B794">
        <v>2016</v>
      </c>
      <c r="C794">
        <v>17.954664227854721</v>
      </c>
    </row>
    <row r="795" spans="1:4" x14ac:dyDescent="0.3">
      <c r="A795" t="s">
        <v>67</v>
      </c>
      <c r="B795">
        <v>2017</v>
      </c>
      <c r="C795">
        <v>20.258934592043161</v>
      </c>
    </row>
    <row r="796" spans="1:4" x14ac:dyDescent="0.3">
      <c r="A796" t="s">
        <v>67</v>
      </c>
      <c r="B796">
        <v>2018</v>
      </c>
      <c r="C796">
        <v>18.5178223172537</v>
      </c>
      <c r="D796">
        <v>12.49</v>
      </c>
    </row>
    <row r="797" spans="1:4" x14ac:dyDescent="0.3">
      <c r="A797" t="s">
        <v>67</v>
      </c>
      <c r="B797">
        <v>2019</v>
      </c>
      <c r="C797">
        <v>16.24692092075087</v>
      </c>
      <c r="D797">
        <v>14.08</v>
      </c>
    </row>
    <row r="798" spans="1:4" x14ac:dyDescent="0.3">
      <c r="A798" t="s">
        <v>67</v>
      </c>
      <c r="B798">
        <v>2020</v>
      </c>
      <c r="C798">
        <v>11.49090320361039</v>
      </c>
      <c r="D798">
        <v>8.2899999999999991</v>
      </c>
    </row>
    <row r="799" spans="1:4" x14ac:dyDescent="0.3">
      <c r="A799" t="s">
        <v>67</v>
      </c>
      <c r="B799">
        <v>2021</v>
      </c>
      <c r="C799">
        <v>8.359840764937811</v>
      </c>
      <c r="D799">
        <v>4.09</v>
      </c>
    </row>
    <row r="800" spans="1:4" x14ac:dyDescent="0.3">
      <c r="A800" t="s">
        <v>67</v>
      </c>
      <c r="B800">
        <v>2022</v>
      </c>
      <c r="C800">
        <v>7.0120904342797248</v>
      </c>
      <c r="D800">
        <v>5.34</v>
      </c>
    </row>
    <row r="801" spans="1:4" x14ac:dyDescent="0.3">
      <c r="A801" t="s">
        <v>67</v>
      </c>
      <c r="B801">
        <v>2023</v>
      </c>
      <c r="C801">
        <v>11.077747989276141</v>
      </c>
      <c r="D801">
        <v>8.2100000000000009</v>
      </c>
    </row>
    <row r="802" spans="1:4" x14ac:dyDescent="0.3">
      <c r="A802" t="s">
        <v>67</v>
      </c>
      <c r="B802">
        <v>2024</v>
      </c>
      <c r="C802">
        <v>15.75038535195478</v>
      </c>
      <c r="D802">
        <v>10.51</v>
      </c>
    </row>
    <row r="803" spans="1:4" x14ac:dyDescent="0.3">
      <c r="A803" t="s">
        <v>68</v>
      </c>
    </row>
    <row r="804" spans="1:4" x14ac:dyDescent="0.3">
      <c r="A804" t="s">
        <v>68</v>
      </c>
      <c r="B804">
        <v>2013</v>
      </c>
      <c r="C804">
        <v>19.746614242027089</v>
      </c>
    </row>
    <row r="805" spans="1:4" x14ac:dyDescent="0.3">
      <c r="A805" t="s">
        <v>68</v>
      </c>
      <c r="B805">
        <v>2014</v>
      </c>
      <c r="C805">
        <v>37.073335586346737</v>
      </c>
    </row>
    <row r="806" spans="1:4" x14ac:dyDescent="0.3">
      <c r="A806" t="s">
        <v>68</v>
      </c>
      <c r="B806">
        <v>2015</v>
      </c>
      <c r="C806">
        <v>38.868832731648617</v>
      </c>
    </row>
    <row r="807" spans="1:4" x14ac:dyDescent="0.3">
      <c r="A807" t="s">
        <v>68</v>
      </c>
      <c r="B807">
        <v>2016</v>
      </c>
      <c r="C807">
        <v>40.34569024334774</v>
      </c>
    </row>
    <row r="808" spans="1:4" x14ac:dyDescent="0.3">
      <c r="A808" t="s">
        <v>68</v>
      </c>
      <c r="B808">
        <v>2017</v>
      </c>
      <c r="C808">
        <v>26.257253384912961</v>
      </c>
    </row>
    <row r="809" spans="1:4" x14ac:dyDescent="0.3">
      <c r="A809" t="s">
        <v>68</v>
      </c>
      <c r="B809">
        <v>2018</v>
      </c>
      <c r="C809">
        <v>22.865236746256571</v>
      </c>
      <c r="D809">
        <v>17.350000000000001</v>
      </c>
    </row>
    <row r="810" spans="1:4" x14ac:dyDescent="0.3">
      <c r="A810" t="s">
        <v>68</v>
      </c>
      <c r="B810">
        <v>2019</v>
      </c>
      <c r="C810">
        <v>19.137097509805709</v>
      </c>
      <c r="D810">
        <v>15.87</v>
      </c>
    </row>
    <row r="811" spans="1:4" x14ac:dyDescent="0.3">
      <c r="A811" t="s">
        <v>68</v>
      </c>
      <c r="B811">
        <v>2020</v>
      </c>
      <c r="C811">
        <v>11.490986590888911</v>
      </c>
      <c r="D811">
        <v>11.87</v>
      </c>
    </row>
    <row r="812" spans="1:4" x14ac:dyDescent="0.3">
      <c r="A812" t="s">
        <v>68</v>
      </c>
      <c r="B812">
        <v>2021</v>
      </c>
      <c r="C812">
        <v>12.491043706711251</v>
      </c>
      <c r="D812">
        <v>9.0399999999999991</v>
      </c>
    </row>
    <row r="813" spans="1:4" x14ac:dyDescent="0.3">
      <c r="A813" t="s">
        <v>68</v>
      </c>
      <c r="B813">
        <v>2022</v>
      </c>
      <c r="C813">
        <v>5.7412084709539544</v>
      </c>
      <c r="D813">
        <v>8.52</v>
      </c>
    </row>
    <row r="814" spans="1:4" x14ac:dyDescent="0.3">
      <c r="A814" t="s">
        <v>68</v>
      </c>
      <c r="B814">
        <v>2023</v>
      </c>
      <c r="C814">
        <v>7.438090147871014</v>
      </c>
      <c r="D814">
        <v>6.95</v>
      </c>
    </row>
    <row r="815" spans="1:4" x14ac:dyDescent="0.3">
      <c r="A815" t="s">
        <v>68</v>
      </c>
      <c r="B815">
        <v>2024</v>
      </c>
      <c r="C815">
        <v>11.54654941693749</v>
      </c>
      <c r="D815">
        <v>9.2100000000000009</v>
      </c>
    </row>
    <row r="816" spans="1:4" x14ac:dyDescent="0.3">
      <c r="A816" t="s">
        <v>69</v>
      </c>
    </row>
    <row r="817" spans="1:4" x14ac:dyDescent="0.3">
      <c r="A817" t="s">
        <v>69</v>
      </c>
      <c r="B817">
        <v>2013</v>
      </c>
      <c r="C817">
        <v>12.5</v>
      </c>
    </row>
    <row r="818" spans="1:4" x14ac:dyDescent="0.3">
      <c r="A818" t="s">
        <v>69</v>
      </c>
      <c r="B818">
        <v>2014</v>
      </c>
      <c r="C818">
        <v>8.9285714285714288</v>
      </c>
    </row>
    <row r="819" spans="1:4" x14ac:dyDescent="0.3">
      <c r="A819" t="s">
        <v>69</v>
      </c>
      <c r="B819">
        <v>2015</v>
      </c>
      <c r="C819">
        <v>-0.98939929328621912</v>
      </c>
    </row>
    <row r="820" spans="1:4" x14ac:dyDescent="0.3">
      <c r="A820" t="s">
        <v>69</v>
      </c>
      <c r="B820">
        <v>2016</v>
      </c>
      <c r="C820">
        <v>7.6474400518470516</v>
      </c>
    </row>
    <row r="821" spans="1:4" x14ac:dyDescent="0.3">
      <c r="A821" t="s">
        <v>69</v>
      </c>
      <c r="B821">
        <v>2017</v>
      </c>
      <c r="C821">
        <v>-2.7010050251256281</v>
      </c>
    </row>
    <row r="822" spans="1:4" x14ac:dyDescent="0.3">
      <c r="A822" t="s">
        <v>69</v>
      </c>
      <c r="B822">
        <v>2018</v>
      </c>
      <c r="C822">
        <v>24.498777506112472</v>
      </c>
      <c r="D822">
        <v>15.92</v>
      </c>
    </row>
    <row r="823" spans="1:4" x14ac:dyDescent="0.3">
      <c r="A823" t="s">
        <v>69</v>
      </c>
      <c r="B823">
        <v>2019</v>
      </c>
      <c r="C823">
        <v>23.27959103421156</v>
      </c>
      <c r="D823">
        <v>15.21</v>
      </c>
    </row>
    <row r="824" spans="1:4" x14ac:dyDescent="0.3">
      <c r="A824" t="s">
        <v>69</v>
      </c>
      <c r="B824">
        <v>2020</v>
      </c>
      <c r="C824">
        <v>-11.20728929384966</v>
      </c>
      <c r="D824">
        <v>12.38</v>
      </c>
    </row>
    <row r="825" spans="1:4" x14ac:dyDescent="0.3">
      <c r="A825" t="s">
        <v>69</v>
      </c>
      <c r="B825">
        <v>2021</v>
      </c>
      <c r="C825">
        <v>26.27872498146775</v>
      </c>
      <c r="D825">
        <v>8.56</v>
      </c>
    </row>
    <row r="826" spans="1:4" x14ac:dyDescent="0.3">
      <c r="A826" t="s">
        <v>69</v>
      </c>
      <c r="B826">
        <v>2022</v>
      </c>
      <c r="C826">
        <v>74.712910335227932</v>
      </c>
      <c r="D826">
        <v>12.34</v>
      </c>
    </row>
    <row r="827" spans="1:4" x14ac:dyDescent="0.3">
      <c r="A827" t="s">
        <v>69</v>
      </c>
      <c r="B827">
        <v>2023</v>
      </c>
      <c r="C827">
        <v>-0.52246603970741901</v>
      </c>
      <c r="D827">
        <v>18.88</v>
      </c>
    </row>
    <row r="828" spans="1:4" x14ac:dyDescent="0.3">
      <c r="A828" t="s">
        <v>69</v>
      </c>
      <c r="B828">
        <v>2024</v>
      </c>
      <c r="C828">
        <v>1.9661621835965899</v>
      </c>
      <c r="D828">
        <v>17.12</v>
      </c>
    </row>
    <row r="829" spans="1:4" x14ac:dyDescent="0.3">
      <c r="A829" t="s">
        <v>70</v>
      </c>
    </row>
    <row r="830" spans="1:4" x14ac:dyDescent="0.3">
      <c r="A830" t="s">
        <v>70</v>
      </c>
      <c r="B830">
        <v>2013</v>
      </c>
      <c r="C830">
        <v>47.170608108108112</v>
      </c>
    </row>
    <row r="831" spans="1:4" x14ac:dyDescent="0.3">
      <c r="A831" t="s">
        <v>70</v>
      </c>
      <c r="B831">
        <v>2014</v>
      </c>
      <c r="C831">
        <v>41.769474797321116</v>
      </c>
    </row>
    <row r="832" spans="1:4" x14ac:dyDescent="0.3">
      <c r="A832" t="s">
        <v>70</v>
      </c>
      <c r="B832">
        <v>2015</v>
      </c>
      <c r="C832">
        <v>19.985800496982609</v>
      </c>
    </row>
    <row r="833" spans="1:4" x14ac:dyDescent="0.3">
      <c r="A833" t="s">
        <v>70</v>
      </c>
      <c r="B833">
        <v>2016</v>
      </c>
      <c r="C833">
        <v>30.499695307739181</v>
      </c>
    </row>
    <row r="834" spans="1:4" x14ac:dyDescent="0.3">
      <c r="A834" t="s">
        <v>70</v>
      </c>
      <c r="B834">
        <v>2017</v>
      </c>
      <c r="C834">
        <v>35.8187134502924</v>
      </c>
    </row>
    <row r="835" spans="1:4" x14ac:dyDescent="0.3">
      <c r="A835" t="s">
        <v>70</v>
      </c>
      <c r="B835">
        <v>2018</v>
      </c>
      <c r="C835">
        <v>43.75170160631636</v>
      </c>
      <c r="D835">
        <v>4.41</v>
      </c>
    </row>
    <row r="836" spans="1:4" x14ac:dyDescent="0.3">
      <c r="A836" t="s">
        <v>70</v>
      </c>
      <c r="B836">
        <v>2019</v>
      </c>
      <c r="C836">
        <v>102.60688216892601</v>
      </c>
      <c r="D836">
        <v>4.6500000000000004</v>
      </c>
    </row>
    <row r="837" spans="1:4" x14ac:dyDescent="0.3">
      <c r="A837" t="s">
        <v>70</v>
      </c>
      <c r="B837">
        <v>2020</v>
      </c>
      <c r="C837">
        <v>103.1203566121842</v>
      </c>
      <c r="D837">
        <v>10.31</v>
      </c>
    </row>
    <row r="838" spans="1:4" x14ac:dyDescent="0.3">
      <c r="A838" t="s">
        <v>70</v>
      </c>
      <c r="B838">
        <v>2021</v>
      </c>
      <c r="C838">
        <v>108.8386433710175</v>
      </c>
      <c r="D838">
        <v>10.029999999999999</v>
      </c>
    </row>
    <row r="839" spans="1:4" x14ac:dyDescent="0.3">
      <c r="A839" t="s">
        <v>70</v>
      </c>
      <c r="B839">
        <v>2022</v>
      </c>
      <c r="C839">
        <v>97.234648230988213</v>
      </c>
      <c r="D839">
        <v>11.04</v>
      </c>
    </row>
    <row r="840" spans="1:4" x14ac:dyDescent="0.3">
      <c r="A840" t="s">
        <v>70</v>
      </c>
      <c r="B840">
        <v>2023</v>
      </c>
      <c r="C840">
        <v>121.960146400976</v>
      </c>
      <c r="D840">
        <v>11.11</v>
      </c>
    </row>
    <row r="841" spans="1:4" x14ac:dyDescent="0.3">
      <c r="A841" t="s">
        <v>70</v>
      </c>
      <c r="B841">
        <v>2024</v>
      </c>
      <c r="C841">
        <v>117.7544910179641</v>
      </c>
      <c r="D841">
        <v>14.55</v>
      </c>
    </row>
    <row r="842" spans="1:4" x14ac:dyDescent="0.3">
      <c r="A842" t="s">
        <v>71</v>
      </c>
    </row>
    <row r="843" spans="1:4" x14ac:dyDescent="0.3">
      <c r="A843" t="s">
        <v>71</v>
      </c>
      <c r="B843">
        <v>2013</v>
      </c>
      <c r="C843">
        <v>9.6425574760865906</v>
      </c>
    </row>
    <row r="844" spans="1:4" x14ac:dyDescent="0.3">
      <c r="A844" t="s">
        <v>71</v>
      </c>
      <c r="B844">
        <v>2014</v>
      </c>
      <c r="C844">
        <v>5.781349571620761</v>
      </c>
    </row>
    <row r="845" spans="1:4" x14ac:dyDescent="0.3">
      <c r="A845" t="s">
        <v>71</v>
      </c>
      <c r="B845">
        <v>2015</v>
      </c>
      <c r="C845">
        <v>9.0968203394238909</v>
      </c>
    </row>
    <row r="846" spans="1:4" x14ac:dyDescent="0.3">
      <c r="A846" t="s">
        <v>71</v>
      </c>
      <c r="B846">
        <v>2016</v>
      </c>
      <c r="C846">
        <v>7.4740068893594156</v>
      </c>
    </row>
    <row r="847" spans="1:4" x14ac:dyDescent="0.3">
      <c r="A847" t="s">
        <v>71</v>
      </c>
      <c r="B847">
        <v>2017</v>
      </c>
      <c r="C847">
        <v>11.993796312252281</v>
      </c>
    </row>
    <row r="848" spans="1:4" x14ac:dyDescent="0.3">
      <c r="A848" t="s">
        <v>71</v>
      </c>
      <c r="B848">
        <v>2018</v>
      </c>
      <c r="C848">
        <v>9.2706634266502448</v>
      </c>
      <c r="D848">
        <v>3.98</v>
      </c>
    </row>
    <row r="849" spans="1:4" x14ac:dyDescent="0.3">
      <c r="A849" t="s">
        <v>71</v>
      </c>
      <c r="B849">
        <v>2019</v>
      </c>
      <c r="C849">
        <v>9.2083901552048832</v>
      </c>
      <c r="D849">
        <v>3.98</v>
      </c>
    </row>
    <row r="850" spans="1:4" x14ac:dyDescent="0.3">
      <c r="A850" t="s">
        <v>71</v>
      </c>
      <c r="B850">
        <v>2020</v>
      </c>
      <c r="C850">
        <v>10.65931614671298</v>
      </c>
      <c r="D850">
        <v>4.01</v>
      </c>
    </row>
    <row r="851" spans="1:4" x14ac:dyDescent="0.3">
      <c r="A851" t="s">
        <v>71</v>
      </c>
      <c r="B851">
        <v>2021</v>
      </c>
      <c r="C851">
        <v>10.8915983420567</v>
      </c>
      <c r="D851">
        <v>2.92</v>
      </c>
    </row>
    <row r="852" spans="1:4" x14ac:dyDescent="0.3">
      <c r="A852" t="s">
        <v>71</v>
      </c>
      <c r="B852">
        <v>2022</v>
      </c>
      <c r="C852">
        <v>10.80725065147046</v>
      </c>
      <c r="D852">
        <v>1.18</v>
      </c>
    </row>
    <row r="853" spans="1:4" x14ac:dyDescent="0.3">
      <c r="A853" t="s">
        <v>71</v>
      </c>
      <c r="B853">
        <v>2023</v>
      </c>
      <c r="C853">
        <v>11.5283677389681</v>
      </c>
      <c r="D853">
        <v>6.46</v>
      </c>
    </row>
    <row r="854" spans="1:4" x14ac:dyDescent="0.3">
      <c r="A854" t="s">
        <v>71</v>
      </c>
      <c r="B854">
        <v>2024</v>
      </c>
      <c r="C854">
        <v>10.407730866621881</v>
      </c>
      <c r="D854">
        <v>1.4</v>
      </c>
    </row>
    <row r="855" spans="1:4" x14ac:dyDescent="0.3">
      <c r="A855" t="s">
        <v>72</v>
      </c>
    </row>
    <row r="856" spans="1:4" x14ac:dyDescent="0.3">
      <c r="A856" t="s">
        <v>72</v>
      </c>
      <c r="B856">
        <v>2013</v>
      </c>
      <c r="C856">
        <v>15.49236829148203</v>
      </c>
    </row>
    <row r="857" spans="1:4" x14ac:dyDescent="0.3">
      <c r="A857" t="s">
        <v>72</v>
      </c>
      <c r="B857">
        <v>2014</v>
      </c>
      <c r="C857">
        <v>13.057518121128149</v>
      </c>
    </row>
    <row r="858" spans="1:4" x14ac:dyDescent="0.3">
      <c r="A858" t="s">
        <v>72</v>
      </c>
      <c r="B858">
        <v>2015</v>
      </c>
      <c r="C858">
        <v>12.171413257972571</v>
      </c>
    </row>
    <row r="859" spans="1:4" x14ac:dyDescent="0.3">
      <c r="A859" t="s">
        <v>72</v>
      </c>
      <c r="B859">
        <v>2016</v>
      </c>
      <c r="C859">
        <v>11.77286377286377</v>
      </c>
    </row>
    <row r="860" spans="1:4" x14ac:dyDescent="0.3">
      <c r="A860" t="s">
        <v>72</v>
      </c>
      <c r="B860">
        <v>2017</v>
      </c>
      <c r="C860">
        <v>10.95075533023978</v>
      </c>
    </row>
    <row r="861" spans="1:4" x14ac:dyDescent="0.3">
      <c r="A861" t="s">
        <v>72</v>
      </c>
      <c r="B861">
        <v>2018</v>
      </c>
      <c r="C861">
        <v>10.140687311105321</v>
      </c>
      <c r="D861">
        <v>4.25</v>
      </c>
    </row>
    <row r="862" spans="1:4" x14ac:dyDescent="0.3">
      <c r="A862" t="s">
        <v>72</v>
      </c>
      <c r="B862">
        <v>2019</v>
      </c>
      <c r="C862">
        <v>12.60271020232226</v>
      </c>
      <c r="D862">
        <v>5.07</v>
      </c>
    </row>
    <row r="863" spans="1:4" x14ac:dyDescent="0.3">
      <c r="A863" t="s">
        <v>72</v>
      </c>
      <c r="B863">
        <v>2020</v>
      </c>
      <c r="C863">
        <v>10.01514641534837</v>
      </c>
      <c r="D863">
        <v>6.48</v>
      </c>
    </row>
    <row r="864" spans="1:4" x14ac:dyDescent="0.3">
      <c r="A864" t="s">
        <v>72</v>
      </c>
      <c r="B864">
        <v>2021</v>
      </c>
      <c r="C864">
        <v>11.904818711775979</v>
      </c>
      <c r="D864">
        <v>8.73</v>
      </c>
    </row>
    <row r="865" spans="1:4" x14ac:dyDescent="0.3">
      <c r="A865" t="s">
        <v>72</v>
      </c>
      <c r="B865">
        <v>2022</v>
      </c>
      <c r="C865">
        <v>12.528255056362379</v>
      </c>
      <c r="D865">
        <v>10.09</v>
      </c>
    </row>
    <row r="866" spans="1:4" x14ac:dyDescent="0.3">
      <c r="A866" t="s">
        <v>72</v>
      </c>
      <c r="B866">
        <v>2023</v>
      </c>
      <c r="C866">
        <v>11.64511675044041</v>
      </c>
      <c r="D866">
        <v>14.88</v>
      </c>
    </row>
    <row r="867" spans="1:4" x14ac:dyDescent="0.3">
      <c r="A867" t="s">
        <v>72</v>
      </c>
      <c r="B867">
        <v>2024</v>
      </c>
      <c r="C867">
        <v>13.273598407068629</v>
      </c>
      <c r="D867">
        <v>12.22</v>
      </c>
    </row>
    <row r="868" spans="1:4" x14ac:dyDescent="0.3">
      <c r="A868" t="s">
        <v>73</v>
      </c>
    </row>
    <row r="869" spans="1:4" x14ac:dyDescent="0.3">
      <c r="A869" t="s">
        <v>73</v>
      </c>
      <c r="B869">
        <v>2013</v>
      </c>
      <c r="C869">
        <v>15.73088219867827</v>
      </c>
    </row>
    <row r="870" spans="1:4" x14ac:dyDescent="0.3">
      <c r="A870" t="s">
        <v>73</v>
      </c>
      <c r="B870">
        <v>2014</v>
      </c>
      <c r="C870">
        <v>15.48921882987128</v>
      </c>
    </row>
    <row r="871" spans="1:4" x14ac:dyDescent="0.3">
      <c r="A871" t="s">
        <v>73</v>
      </c>
      <c r="B871">
        <v>2015</v>
      </c>
      <c r="C871">
        <v>9.8102019894156438</v>
      </c>
    </row>
    <row r="872" spans="1:4" x14ac:dyDescent="0.3">
      <c r="A872" t="s">
        <v>73</v>
      </c>
      <c r="B872">
        <v>2016</v>
      </c>
      <c r="C872">
        <v>6.6233936930652018</v>
      </c>
    </row>
    <row r="873" spans="1:4" x14ac:dyDescent="0.3">
      <c r="A873" t="s">
        <v>73</v>
      </c>
      <c r="B873">
        <v>2017</v>
      </c>
      <c r="C873">
        <v>15.00571028777793</v>
      </c>
    </row>
    <row r="874" spans="1:4" x14ac:dyDescent="0.3">
      <c r="A874" t="s">
        <v>73</v>
      </c>
      <c r="B874">
        <v>2018</v>
      </c>
      <c r="C874">
        <v>12.777241335365821</v>
      </c>
      <c r="D874">
        <v>14.78</v>
      </c>
    </row>
    <row r="875" spans="1:4" x14ac:dyDescent="0.3">
      <c r="A875" t="s">
        <v>73</v>
      </c>
      <c r="B875">
        <v>2019</v>
      </c>
      <c r="C875">
        <v>15.644389537831779</v>
      </c>
      <c r="D875">
        <v>19.350000000000001</v>
      </c>
    </row>
    <row r="876" spans="1:4" x14ac:dyDescent="0.3">
      <c r="A876" t="s">
        <v>73</v>
      </c>
      <c r="B876">
        <v>2020</v>
      </c>
      <c r="C876">
        <v>5.5854590841719318</v>
      </c>
      <c r="D876">
        <v>19.78</v>
      </c>
    </row>
    <row r="877" spans="1:4" x14ac:dyDescent="0.3">
      <c r="A877" t="s">
        <v>73</v>
      </c>
      <c r="B877">
        <v>2021</v>
      </c>
      <c r="C877">
        <v>9.6659893837026711</v>
      </c>
      <c r="D877">
        <v>19.63</v>
      </c>
    </row>
    <row r="878" spans="1:4" x14ac:dyDescent="0.3">
      <c r="A878" t="s">
        <v>73</v>
      </c>
      <c r="B878">
        <v>2022</v>
      </c>
      <c r="C878">
        <v>18.995541477362501</v>
      </c>
      <c r="D878">
        <v>11.7</v>
      </c>
    </row>
    <row r="879" spans="1:4" x14ac:dyDescent="0.3">
      <c r="A879" t="s">
        <v>73</v>
      </c>
      <c r="B879">
        <v>2023</v>
      </c>
      <c r="C879">
        <v>11.679440720905619</v>
      </c>
      <c r="D879">
        <v>14.4</v>
      </c>
    </row>
    <row r="880" spans="1:4" x14ac:dyDescent="0.3">
      <c r="A880" t="s">
        <v>73</v>
      </c>
      <c r="B880">
        <v>2024</v>
      </c>
      <c r="C880">
        <v>16.940398136885509</v>
      </c>
      <c r="D880">
        <v>7</v>
      </c>
    </row>
    <row r="881" spans="1:4" x14ac:dyDescent="0.3">
      <c r="A881" t="s">
        <v>74</v>
      </c>
    </row>
    <row r="882" spans="1:4" x14ac:dyDescent="0.3">
      <c r="A882" t="s">
        <v>74</v>
      </c>
      <c r="B882">
        <v>2013</v>
      </c>
      <c r="C882">
        <v>18.74155405405406</v>
      </c>
    </row>
    <row r="883" spans="1:4" x14ac:dyDescent="0.3">
      <c r="A883" t="s">
        <v>74</v>
      </c>
      <c r="B883">
        <v>2014</v>
      </c>
      <c r="C883">
        <v>19.845941428675239</v>
      </c>
    </row>
    <row r="884" spans="1:4" x14ac:dyDescent="0.3">
      <c r="A884" t="s">
        <v>74</v>
      </c>
      <c r="B884">
        <v>2015</v>
      </c>
      <c r="C884">
        <v>18.524574989972539</v>
      </c>
    </row>
    <row r="885" spans="1:4" x14ac:dyDescent="0.3">
      <c r="A885" t="s">
        <v>74</v>
      </c>
      <c r="B885">
        <v>2016</v>
      </c>
      <c r="C885">
        <v>17.164427667369829</v>
      </c>
    </row>
    <row r="886" spans="1:4" x14ac:dyDescent="0.3">
      <c r="A886" t="s">
        <v>74</v>
      </c>
      <c r="B886">
        <v>2017</v>
      </c>
      <c r="C886">
        <v>6.0686660333830913</v>
      </c>
    </row>
    <row r="887" spans="1:4" x14ac:dyDescent="0.3">
      <c r="A887" t="s">
        <v>74</v>
      </c>
      <c r="B887">
        <v>2018</v>
      </c>
      <c r="C887">
        <v>22.084149219259931</v>
      </c>
      <c r="D887">
        <v>22.94</v>
      </c>
    </row>
    <row r="888" spans="1:4" x14ac:dyDescent="0.3">
      <c r="A888" t="s">
        <v>74</v>
      </c>
      <c r="B888">
        <v>2019</v>
      </c>
      <c r="C888">
        <v>26.824558052672899</v>
      </c>
      <c r="D888">
        <v>20.38</v>
      </c>
    </row>
    <row r="889" spans="1:4" x14ac:dyDescent="0.3">
      <c r="A889" t="s">
        <v>74</v>
      </c>
      <c r="B889">
        <v>2020</v>
      </c>
      <c r="C889">
        <v>19.184210526315791</v>
      </c>
      <c r="D889">
        <v>20</v>
      </c>
    </row>
    <row r="890" spans="1:4" x14ac:dyDescent="0.3">
      <c r="A890" t="s">
        <v>74</v>
      </c>
      <c r="B890">
        <v>2021</v>
      </c>
      <c r="C890">
        <v>25.862721542942719</v>
      </c>
      <c r="D890">
        <v>20.8</v>
      </c>
    </row>
    <row r="891" spans="1:4" x14ac:dyDescent="0.3">
      <c r="A891" t="s">
        <v>74</v>
      </c>
      <c r="B891">
        <v>2022</v>
      </c>
      <c r="C891">
        <v>26.184496902728949</v>
      </c>
      <c r="D891">
        <v>22.56</v>
      </c>
    </row>
    <row r="892" spans="1:4" x14ac:dyDescent="0.3">
      <c r="A892" t="s">
        <v>74</v>
      </c>
      <c r="B892">
        <v>2023</v>
      </c>
      <c r="C892">
        <v>25.165759642577061</v>
      </c>
      <c r="D892">
        <v>9.82</v>
      </c>
    </row>
    <row r="893" spans="1:4" x14ac:dyDescent="0.3">
      <c r="A893" t="s">
        <v>74</v>
      </c>
      <c r="B893">
        <v>2024</v>
      </c>
      <c r="C893">
        <v>26.160934086033201</v>
      </c>
      <c r="D893">
        <v>11.08</v>
      </c>
    </row>
    <row r="894" spans="1:4" x14ac:dyDescent="0.3">
      <c r="A894" t="s">
        <v>75</v>
      </c>
    </row>
    <row r="895" spans="1:4" x14ac:dyDescent="0.3">
      <c r="A895" t="s">
        <v>75</v>
      </c>
      <c r="B895">
        <v>2013</v>
      </c>
      <c r="C895">
        <v>25.681405208964261</v>
      </c>
    </row>
    <row r="896" spans="1:4" x14ac:dyDescent="0.3">
      <c r="A896" t="s">
        <v>75</v>
      </c>
      <c r="B896">
        <v>2014</v>
      </c>
      <c r="C896">
        <v>23.053278688524589</v>
      </c>
    </row>
    <row r="897" spans="1:4" x14ac:dyDescent="0.3">
      <c r="A897" t="s">
        <v>75</v>
      </c>
      <c r="B897">
        <v>2015</v>
      </c>
      <c r="C897">
        <v>22.643171806167398</v>
      </c>
    </row>
    <row r="898" spans="1:4" x14ac:dyDescent="0.3">
      <c r="A898" t="s">
        <v>75</v>
      </c>
      <c r="B898">
        <v>2016</v>
      </c>
      <c r="C898">
        <v>30.59135708870356</v>
      </c>
    </row>
    <row r="899" spans="1:4" x14ac:dyDescent="0.3">
      <c r="A899" t="s">
        <v>75</v>
      </c>
      <c r="B899">
        <v>2017</v>
      </c>
      <c r="C899">
        <v>24.863151829443961</v>
      </c>
    </row>
    <row r="900" spans="1:4" x14ac:dyDescent="0.3">
      <c r="A900" t="s">
        <v>75</v>
      </c>
      <c r="B900">
        <v>2018</v>
      </c>
      <c r="C900">
        <v>27.028539451594849</v>
      </c>
      <c r="D900">
        <v>10.57</v>
      </c>
    </row>
    <row r="901" spans="1:4" x14ac:dyDescent="0.3">
      <c r="A901" t="s">
        <v>75</v>
      </c>
      <c r="B901">
        <v>2019</v>
      </c>
      <c r="C901">
        <v>22.372227579556419</v>
      </c>
      <c r="D901">
        <v>10.57</v>
      </c>
    </row>
    <row r="902" spans="1:4" x14ac:dyDescent="0.3">
      <c r="A902" t="s">
        <v>75</v>
      </c>
      <c r="B902">
        <v>2020</v>
      </c>
      <c r="C902">
        <v>25.179533213644518</v>
      </c>
      <c r="D902">
        <v>8.5299999999999994</v>
      </c>
    </row>
    <row r="903" spans="1:4" x14ac:dyDescent="0.3">
      <c r="A903" t="s">
        <v>75</v>
      </c>
      <c r="B903">
        <v>2021</v>
      </c>
      <c r="C903">
        <v>20.132308242445919</v>
      </c>
      <c r="D903">
        <v>6.35</v>
      </c>
    </row>
    <row r="904" spans="1:4" x14ac:dyDescent="0.3">
      <c r="A904" t="s">
        <v>75</v>
      </c>
      <c r="B904">
        <v>2022</v>
      </c>
      <c r="C904">
        <v>18.84759525296689</v>
      </c>
      <c r="D904">
        <v>12.05</v>
      </c>
    </row>
    <row r="905" spans="1:4" x14ac:dyDescent="0.3">
      <c r="A905" t="s">
        <v>75</v>
      </c>
      <c r="B905">
        <v>2023</v>
      </c>
      <c r="C905">
        <v>17.872989462007769</v>
      </c>
      <c r="D905">
        <v>14.19</v>
      </c>
    </row>
    <row r="906" spans="1:4" x14ac:dyDescent="0.3">
      <c r="A906" t="s">
        <v>75</v>
      </c>
      <c r="B906">
        <v>2024</v>
      </c>
      <c r="C906">
        <v>20.780302129178061</v>
      </c>
      <c r="D906">
        <v>11.84</v>
      </c>
    </row>
    <row r="907" spans="1:4" x14ac:dyDescent="0.3">
      <c r="A907" t="s">
        <v>76</v>
      </c>
    </row>
    <row r="908" spans="1:4" x14ac:dyDescent="0.3">
      <c r="A908" t="s">
        <v>76</v>
      </c>
      <c r="B908">
        <v>2013</v>
      </c>
      <c r="C908">
        <v>812.29773462783169</v>
      </c>
    </row>
    <row r="909" spans="1:4" x14ac:dyDescent="0.3">
      <c r="A909" t="s">
        <v>76</v>
      </c>
      <c r="B909">
        <v>2014</v>
      </c>
      <c r="C909">
        <v>393.36188436830832</v>
      </c>
    </row>
    <row r="910" spans="1:4" x14ac:dyDescent="0.3">
      <c r="A910" t="s">
        <v>76</v>
      </c>
      <c r="B910">
        <v>2015</v>
      </c>
      <c r="C910">
        <v>223.24255858138059</v>
      </c>
    </row>
    <row r="911" spans="1:4" x14ac:dyDescent="0.3">
      <c r="A911" t="s">
        <v>76</v>
      </c>
      <c r="B911">
        <v>2016</v>
      </c>
      <c r="C911">
        <v>-163.56011183597391</v>
      </c>
    </row>
    <row r="912" spans="1:4" x14ac:dyDescent="0.3">
      <c r="A912" t="s">
        <v>76</v>
      </c>
      <c r="B912">
        <v>2017</v>
      </c>
      <c r="C912">
        <v>22.212262459662959</v>
      </c>
    </row>
    <row r="913" spans="1:4" x14ac:dyDescent="0.3">
      <c r="A913" t="s">
        <v>76</v>
      </c>
      <c r="B913">
        <v>2018</v>
      </c>
      <c r="C913">
        <v>-184.36596133353629</v>
      </c>
      <c r="D913">
        <v>2.5</v>
      </c>
    </row>
    <row r="914" spans="1:4" x14ac:dyDescent="0.3">
      <c r="A914" t="s">
        <v>76</v>
      </c>
      <c r="B914">
        <v>2019</v>
      </c>
      <c r="C914">
        <v>-128.4465366509751</v>
      </c>
      <c r="D914">
        <v>3.01</v>
      </c>
    </row>
    <row r="915" spans="1:4" x14ac:dyDescent="0.3">
      <c r="A915" t="s">
        <v>76</v>
      </c>
      <c r="B915">
        <v>2020</v>
      </c>
      <c r="C915">
        <v>6.1029319239964774</v>
      </c>
      <c r="D915">
        <v>2.4300000000000002</v>
      </c>
    </row>
    <row r="916" spans="1:4" x14ac:dyDescent="0.3">
      <c r="A916" t="s">
        <v>76</v>
      </c>
      <c r="B916">
        <v>2021</v>
      </c>
      <c r="C916">
        <v>30.39359422578098</v>
      </c>
      <c r="D916">
        <v>10.029999999999999</v>
      </c>
    </row>
    <row r="917" spans="1:4" x14ac:dyDescent="0.3">
      <c r="A917" t="s">
        <v>76</v>
      </c>
      <c r="B917">
        <v>2022</v>
      </c>
      <c r="C917">
        <v>39.873482297724721</v>
      </c>
      <c r="D917">
        <v>9.67</v>
      </c>
    </row>
    <row r="918" spans="1:4" x14ac:dyDescent="0.3">
      <c r="A918" t="s">
        <v>76</v>
      </c>
      <c r="B918">
        <v>2023</v>
      </c>
      <c r="C918">
        <v>30.667397060166159</v>
      </c>
      <c r="D918">
        <v>12.25</v>
      </c>
    </row>
    <row r="919" spans="1:4" x14ac:dyDescent="0.3">
      <c r="A919" t="s">
        <v>76</v>
      </c>
      <c r="B919">
        <v>2024</v>
      </c>
      <c r="C919">
        <v>61.320565191187313</v>
      </c>
      <c r="D919">
        <v>15.9</v>
      </c>
    </row>
    <row r="920" spans="1:4" x14ac:dyDescent="0.3">
      <c r="A920" t="s">
        <v>77</v>
      </c>
    </row>
    <row r="921" spans="1:4" x14ac:dyDescent="0.3">
      <c r="A921" t="s">
        <v>77</v>
      </c>
      <c r="B921">
        <v>2013</v>
      </c>
      <c r="C921">
        <v>16.335264932015299</v>
      </c>
    </row>
    <row r="922" spans="1:4" x14ac:dyDescent="0.3">
      <c r="A922" t="s">
        <v>77</v>
      </c>
      <c r="B922">
        <v>2014</v>
      </c>
      <c r="C922">
        <v>13.107383710876711</v>
      </c>
    </row>
    <row r="923" spans="1:4" x14ac:dyDescent="0.3">
      <c r="A923" t="s">
        <v>77</v>
      </c>
      <c r="B923">
        <v>2015</v>
      </c>
      <c r="C923">
        <v>13.127292593459771</v>
      </c>
    </row>
    <row r="924" spans="1:4" x14ac:dyDescent="0.3">
      <c r="A924" t="s">
        <v>77</v>
      </c>
      <c r="B924">
        <v>2016</v>
      </c>
      <c r="C924">
        <v>13.55242210598135</v>
      </c>
    </row>
    <row r="925" spans="1:4" x14ac:dyDescent="0.3">
      <c r="A925" t="s">
        <v>77</v>
      </c>
      <c r="B925">
        <v>2017</v>
      </c>
      <c r="C925">
        <v>14.942044679741709</v>
      </c>
    </row>
    <row r="926" spans="1:4" x14ac:dyDescent="0.3">
      <c r="A926" t="s">
        <v>77</v>
      </c>
      <c r="B926">
        <v>2018</v>
      </c>
      <c r="C926">
        <v>15.07367802153383</v>
      </c>
      <c r="D926">
        <v>18.02</v>
      </c>
    </row>
    <row r="927" spans="1:4" x14ac:dyDescent="0.3">
      <c r="A927" t="s">
        <v>77</v>
      </c>
      <c r="B927">
        <v>2019</v>
      </c>
      <c r="C927">
        <v>16.98116400683714</v>
      </c>
      <c r="D927">
        <v>17.649999999999999</v>
      </c>
    </row>
    <row r="928" spans="1:4" x14ac:dyDescent="0.3">
      <c r="A928" t="s">
        <v>77</v>
      </c>
      <c r="B928">
        <v>2020</v>
      </c>
      <c r="C928">
        <v>17.093792506491901</v>
      </c>
      <c r="D928">
        <v>16.559999999999999</v>
      </c>
    </row>
    <row r="929" spans="1:4" x14ac:dyDescent="0.3">
      <c r="A929" t="s">
        <v>77</v>
      </c>
      <c r="B929">
        <v>2021</v>
      </c>
      <c r="C929">
        <v>17.210020590253951</v>
      </c>
      <c r="D929">
        <v>13.93</v>
      </c>
    </row>
    <row r="930" spans="1:4" x14ac:dyDescent="0.3">
      <c r="A930" t="s">
        <v>77</v>
      </c>
      <c r="B930">
        <v>2022</v>
      </c>
      <c r="C930">
        <v>22.06513043136124</v>
      </c>
      <c r="D930">
        <v>10.130000000000001</v>
      </c>
    </row>
    <row r="931" spans="1:4" x14ac:dyDescent="0.3">
      <c r="A931" t="s">
        <v>77</v>
      </c>
      <c r="B931">
        <v>2023</v>
      </c>
      <c r="C931">
        <v>18.572495362898369</v>
      </c>
      <c r="D931">
        <v>8.77</v>
      </c>
    </row>
    <row r="932" spans="1:4" x14ac:dyDescent="0.3">
      <c r="A932" t="s">
        <v>77</v>
      </c>
      <c r="B932">
        <v>2024</v>
      </c>
      <c r="C932">
        <v>17.87001124549607</v>
      </c>
      <c r="D932">
        <v>5.51</v>
      </c>
    </row>
    <row r="933" spans="1:4" x14ac:dyDescent="0.3">
      <c r="A933" t="s">
        <v>78</v>
      </c>
    </row>
    <row r="934" spans="1:4" x14ac:dyDescent="0.3">
      <c r="A934" t="s">
        <v>78</v>
      </c>
      <c r="B934">
        <v>2013</v>
      </c>
      <c r="C934">
        <v>21.865373645179691</v>
      </c>
    </row>
    <row r="935" spans="1:4" x14ac:dyDescent="0.3">
      <c r="A935" t="s">
        <v>78</v>
      </c>
      <c r="B935">
        <v>2014</v>
      </c>
      <c r="C935">
        <v>22.78998221410373</v>
      </c>
    </row>
    <row r="936" spans="1:4" x14ac:dyDescent="0.3">
      <c r="A936" t="s">
        <v>78</v>
      </c>
      <c r="B936">
        <v>2015</v>
      </c>
      <c r="C936">
        <v>21.31461391193363</v>
      </c>
    </row>
    <row r="937" spans="1:4" x14ac:dyDescent="0.3">
      <c r="A937" t="s">
        <v>78</v>
      </c>
      <c r="B937">
        <v>2016</v>
      </c>
      <c r="C937">
        <v>19.69681237670024</v>
      </c>
    </row>
    <row r="938" spans="1:4" x14ac:dyDescent="0.3">
      <c r="A938" t="s">
        <v>78</v>
      </c>
      <c r="B938">
        <v>2017</v>
      </c>
      <c r="C938">
        <v>18.74907190163642</v>
      </c>
    </row>
    <row r="939" spans="1:4" x14ac:dyDescent="0.3">
      <c r="A939" t="s">
        <v>78</v>
      </c>
      <c r="B939">
        <v>2018</v>
      </c>
      <c r="C939">
        <v>13.65840186571744</v>
      </c>
      <c r="D939">
        <v>10.69</v>
      </c>
    </row>
    <row r="940" spans="1:4" x14ac:dyDescent="0.3">
      <c r="A940" t="s">
        <v>78</v>
      </c>
      <c r="B940">
        <v>2019</v>
      </c>
      <c r="C940">
        <v>16.618421814392399</v>
      </c>
      <c r="D940">
        <v>8.09</v>
      </c>
    </row>
    <row r="941" spans="1:4" x14ac:dyDescent="0.3">
      <c r="A941" t="s">
        <v>78</v>
      </c>
      <c r="B941">
        <v>2020</v>
      </c>
      <c r="C941">
        <v>14.046388111986889</v>
      </c>
      <c r="D941">
        <v>7.82</v>
      </c>
    </row>
    <row r="942" spans="1:4" x14ac:dyDescent="0.3">
      <c r="A942" t="s">
        <v>78</v>
      </c>
      <c r="B942">
        <v>2021</v>
      </c>
      <c r="C942">
        <v>19.1435883374463</v>
      </c>
      <c r="D942">
        <v>8.07</v>
      </c>
    </row>
    <row r="943" spans="1:4" x14ac:dyDescent="0.3">
      <c r="A943" t="s">
        <v>78</v>
      </c>
      <c r="B943">
        <v>2022</v>
      </c>
      <c r="C943">
        <v>19.558015356432939</v>
      </c>
      <c r="D943">
        <v>10.039999999999999</v>
      </c>
    </row>
    <row r="944" spans="1:4" x14ac:dyDescent="0.3">
      <c r="A944" t="s">
        <v>78</v>
      </c>
      <c r="B944">
        <v>2023</v>
      </c>
      <c r="C944">
        <v>19.213695801789399</v>
      </c>
      <c r="D944">
        <v>11.75</v>
      </c>
    </row>
    <row r="945" spans="1:4" x14ac:dyDescent="0.3">
      <c r="A945" t="s">
        <v>78</v>
      </c>
      <c r="B945">
        <v>2024</v>
      </c>
      <c r="C945">
        <v>20.39653929343908</v>
      </c>
      <c r="D945">
        <v>13.34</v>
      </c>
    </row>
    <row r="946" spans="1:4" x14ac:dyDescent="0.3">
      <c r="A946" t="s">
        <v>79</v>
      </c>
    </row>
    <row r="947" spans="1:4" x14ac:dyDescent="0.3">
      <c r="A947" t="s">
        <v>79</v>
      </c>
      <c r="B947">
        <v>2013</v>
      </c>
      <c r="C947">
        <v>11.47235725467579</v>
      </c>
    </row>
    <row r="948" spans="1:4" x14ac:dyDescent="0.3">
      <c r="A948" t="s">
        <v>79</v>
      </c>
      <c r="B948">
        <v>2014</v>
      </c>
      <c r="C948">
        <v>11.348502921680829</v>
      </c>
    </row>
    <row r="949" spans="1:4" x14ac:dyDescent="0.3">
      <c r="A949" t="s">
        <v>79</v>
      </c>
      <c r="B949">
        <v>2015</v>
      </c>
      <c r="C949">
        <v>10.819271484080019</v>
      </c>
    </row>
    <row r="950" spans="1:4" x14ac:dyDescent="0.3">
      <c r="A950" t="s">
        <v>79</v>
      </c>
      <c r="B950">
        <v>2016</v>
      </c>
      <c r="C950">
        <v>12.89580058387604</v>
      </c>
    </row>
    <row r="951" spans="1:4" x14ac:dyDescent="0.3">
      <c r="A951" t="s">
        <v>79</v>
      </c>
      <c r="B951">
        <v>2017</v>
      </c>
      <c r="C951">
        <v>11.31284863239404</v>
      </c>
    </row>
    <row r="952" spans="1:4" x14ac:dyDescent="0.3">
      <c r="A952" t="s">
        <v>79</v>
      </c>
      <c r="B952">
        <v>2018</v>
      </c>
      <c r="C952">
        <v>12.29276403208112</v>
      </c>
      <c r="D952">
        <v>-0.26</v>
      </c>
    </row>
    <row r="953" spans="1:4" x14ac:dyDescent="0.3">
      <c r="A953" t="s">
        <v>79</v>
      </c>
      <c r="B953">
        <v>2019</v>
      </c>
      <c r="C953">
        <v>10.29082022773771</v>
      </c>
      <c r="D953">
        <v>5.56</v>
      </c>
    </row>
    <row r="954" spans="1:4" x14ac:dyDescent="0.3">
      <c r="A954" t="s">
        <v>79</v>
      </c>
      <c r="B954">
        <v>2020</v>
      </c>
      <c r="C954">
        <v>8.8786773709497151</v>
      </c>
      <c r="D954">
        <v>9.77</v>
      </c>
    </row>
    <row r="955" spans="1:4" x14ac:dyDescent="0.3">
      <c r="A955" t="s">
        <v>79</v>
      </c>
      <c r="B955">
        <v>2021</v>
      </c>
      <c r="C955">
        <v>7.6751141148175019</v>
      </c>
      <c r="D955">
        <v>11.34</v>
      </c>
    </row>
    <row r="956" spans="1:4" x14ac:dyDescent="0.3">
      <c r="A956" t="s">
        <v>79</v>
      </c>
      <c r="B956">
        <v>2022</v>
      </c>
      <c r="C956">
        <v>8.7038236784543646</v>
      </c>
      <c r="D956">
        <v>17.98</v>
      </c>
    </row>
    <row r="957" spans="1:4" x14ac:dyDescent="0.3">
      <c r="A957" t="s">
        <v>79</v>
      </c>
      <c r="B957">
        <v>2023</v>
      </c>
      <c r="C957">
        <v>10.349336194179971</v>
      </c>
      <c r="D957">
        <v>17.53</v>
      </c>
    </row>
    <row r="958" spans="1:4" x14ac:dyDescent="0.3">
      <c r="A958" t="s">
        <v>79</v>
      </c>
      <c r="B958">
        <v>2024</v>
      </c>
      <c r="C958">
        <v>9.9586505536994583</v>
      </c>
      <c r="D958">
        <v>9.61</v>
      </c>
    </row>
    <row r="959" spans="1:4" x14ac:dyDescent="0.3">
      <c r="A959" t="s">
        <v>80</v>
      </c>
    </row>
    <row r="960" spans="1:4" x14ac:dyDescent="0.3">
      <c r="A960" t="s">
        <v>80</v>
      </c>
      <c r="B960">
        <v>2013</v>
      </c>
      <c r="C960">
        <v>23.026315789473681</v>
      </c>
    </row>
    <row r="961" spans="1:4" x14ac:dyDescent="0.3">
      <c r="A961" t="s">
        <v>80</v>
      </c>
      <c r="B961">
        <v>2014</v>
      </c>
      <c r="C961">
        <v>21.692491060786651</v>
      </c>
    </row>
    <row r="962" spans="1:4" x14ac:dyDescent="0.3">
      <c r="A962" t="s">
        <v>80</v>
      </c>
      <c r="B962">
        <v>2015</v>
      </c>
      <c r="C962">
        <v>20.093688362919131</v>
      </c>
    </row>
    <row r="963" spans="1:4" x14ac:dyDescent="0.3">
      <c r="A963" t="s">
        <v>80</v>
      </c>
      <c r="B963">
        <v>2016</v>
      </c>
      <c r="C963">
        <v>17.832241707162481</v>
      </c>
    </row>
    <row r="964" spans="1:4" x14ac:dyDescent="0.3">
      <c r="A964" t="s">
        <v>80</v>
      </c>
      <c r="B964">
        <v>2017</v>
      </c>
      <c r="C964">
        <v>17.20100864553314</v>
      </c>
    </row>
    <row r="965" spans="1:4" x14ac:dyDescent="0.3">
      <c r="A965" t="s">
        <v>80</v>
      </c>
      <c r="B965">
        <v>2018</v>
      </c>
      <c r="C965">
        <v>17.616421568627452</v>
      </c>
      <c r="D965">
        <v>18.03</v>
      </c>
    </row>
    <row r="966" spans="1:4" x14ac:dyDescent="0.3">
      <c r="A966" t="s">
        <v>80</v>
      </c>
      <c r="B966">
        <v>2019</v>
      </c>
      <c r="C966">
        <v>17.51583949313622</v>
      </c>
      <c r="D966">
        <v>20.91</v>
      </c>
    </row>
    <row r="967" spans="1:4" x14ac:dyDescent="0.3">
      <c r="A967" t="s">
        <v>80</v>
      </c>
      <c r="B967">
        <v>2020</v>
      </c>
      <c r="C967">
        <v>16.26444012352739</v>
      </c>
      <c r="D967">
        <v>13.36</v>
      </c>
    </row>
    <row r="968" spans="1:4" x14ac:dyDescent="0.3">
      <c r="A968" t="s">
        <v>80</v>
      </c>
      <c r="B968">
        <v>2021</v>
      </c>
      <c r="C968">
        <v>14</v>
      </c>
      <c r="D968">
        <v>33.49</v>
      </c>
    </row>
    <row r="969" spans="1:4" x14ac:dyDescent="0.3">
      <c r="A969" t="s">
        <v>80</v>
      </c>
      <c r="B969">
        <v>2022</v>
      </c>
      <c r="C969">
        <v>12.958182756840481</v>
      </c>
      <c r="D969">
        <v>22.12</v>
      </c>
    </row>
    <row r="970" spans="1:4" x14ac:dyDescent="0.3">
      <c r="A970" t="s">
        <v>80</v>
      </c>
      <c r="B970">
        <v>2023</v>
      </c>
      <c r="C970">
        <v>13.22015670609925</v>
      </c>
      <c r="D970">
        <v>18.809999999999999</v>
      </c>
    </row>
    <row r="971" spans="1:4" x14ac:dyDescent="0.3">
      <c r="A971" t="s">
        <v>80</v>
      </c>
      <c r="B971">
        <v>2024</v>
      </c>
      <c r="C971">
        <v>12.704588140595661</v>
      </c>
      <c r="D971">
        <v>24.23</v>
      </c>
    </row>
    <row r="972" spans="1:4" x14ac:dyDescent="0.3">
      <c r="A972" t="s">
        <v>81</v>
      </c>
    </row>
    <row r="973" spans="1:4" x14ac:dyDescent="0.3">
      <c r="A973" t="s">
        <v>81</v>
      </c>
      <c r="B973">
        <v>2013</v>
      </c>
    </row>
    <row r="974" spans="1:4" x14ac:dyDescent="0.3">
      <c r="A974" t="s">
        <v>81</v>
      </c>
      <c r="B974">
        <v>2014</v>
      </c>
    </row>
    <row r="975" spans="1:4" x14ac:dyDescent="0.3">
      <c r="A975" t="s">
        <v>81</v>
      </c>
      <c r="B975">
        <v>2015</v>
      </c>
    </row>
    <row r="976" spans="1:4" x14ac:dyDescent="0.3">
      <c r="A976" t="s">
        <v>81</v>
      </c>
      <c r="B976">
        <v>2016</v>
      </c>
    </row>
    <row r="977" spans="1:4" x14ac:dyDescent="0.3">
      <c r="A977" t="s">
        <v>81</v>
      </c>
      <c r="B977">
        <v>2017</v>
      </c>
    </row>
    <row r="978" spans="1:4" x14ac:dyDescent="0.3">
      <c r="A978" t="s">
        <v>81</v>
      </c>
      <c r="B978">
        <v>2018</v>
      </c>
      <c r="D978">
        <v>6.39</v>
      </c>
    </row>
    <row r="979" spans="1:4" x14ac:dyDescent="0.3">
      <c r="A979" t="s">
        <v>81</v>
      </c>
      <c r="B979">
        <v>2019</v>
      </c>
      <c r="D979">
        <v>6.03</v>
      </c>
    </row>
    <row r="980" spans="1:4" x14ac:dyDescent="0.3">
      <c r="A980" t="s">
        <v>81</v>
      </c>
      <c r="B980">
        <v>2020</v>
      </c>
      <c r="D980">
        <v>5.35</v>
      </c>
    </row>
    <row r="981" spans="1:4" x14ac:dyDescent="0.3">
      <c r="A981" t="s">
        <v>81</v>
      </c>
      <c r="B981">
        <v>2021</v>
      </c>
      <c r="D981">
        <v>4.74</v>
      </c>
    </row>
    <row r="982" spans="1:4" x14ac:dyDescent="0.3">
      <c r="A982" t="s">
        <v>81</v>
      </c>
      <c r="B982">
        <v>2022</v>
      </c>
      <c r="D982">
        <v>4.7</v>
      </c>
    </row>
    <row r="983" spans="1:4" x14ac:dyDescent="0.3">
      <c r="A983" t="s">
        <v>81</v>
      </c>
      <c r="B983">
        <v>2023</v>
      </c>
      <c r="D983">
        <v>8.91</v>
      </c>
    </row>
    <row r="984" spans="1:4" x14ac:dyDescent="0.3">
      <c r="A984" t="s">
        <v>81</v>
      </c>
      <c r="B984">
        <v>2024</v>
      </c>
      <c r="D984">
        <v>11.63</v>
      </c>
    </row>
    <row r="985" spans="1:4" x14ac:dyDescent="0.3">
      <c r="A985" t="s">
        <v>82</v>
      </c>
    </row>
    <row r="986" spans="1:4" x14ac:dyDescent="0.3">
      <c r="A986" t="s">
        <v>82</v>
      </c>
      <c r="B986">
        <v>2013</v>
      </c>
      <c r="C986">
        <v>26.11862643080125</v>
      </c>
    </row>
    <row r="987" spans="1:4" x14ac:dyDescent="0.3">
      <c r="A987" t="s">
        <v>82</v>
      </c>
      <c r="B987">
        <v>2014</v>
      </c>
      <c r="C987">
        <v>16.705582678836759</v>
      </c>
    </row>
    <row r="988" spans="1:4" x14ac:dyDescent="0.3">
      <c r="A988" t="s">
        <v>82</v>
      </c>
      <c r="B988">
        <v>2015</v>
      </c>
      <c r="C988">
        <v>8.0742987111448059</v>
      </c>
    </row>
    <row r="989" spans="1:4" x14ac:dyDescent="0.3">
      <c r="A989" t="s">
        <v>82</v>
      </c>
      <c r="B989">
        <v>2016</v>
      </c>
      <c r="C989">
        <v>16.69588080631025</v>
      </c>
    </row>
    <row r="990" spans="1:4" x14ac:dyDescent="0.3">
      <c r="A990" t="s">
        <v>82</v>
      </c>
      <c r="B990">
        <v>2017</v>
      </c>
      <c r="C990">
        <v>17.394128345024679</v>
      </c>
    </row>
    <row r="991" spans="1:4" x14ac:dyDescent="0.3">
      <c r="A991" t="s">
        <v>82</v>
      </c>
      <c r="B991">
        <v>2018</v>
      </c>
      <c r="C991">
        <v>15.555805327638531</v>
      </c>
      <c r="D991">
        <v>12.66</v>
      </c>
    </row>
    <row r="992" spans="1:4" x14ac:dyDescent="0.3">
      <c r="A992" t="s">
        <v>82</v>
      </c>
      <c r="B992">
        <v>2019</v>
      </c>
      <c r="C992">
        <v>10.49529521249095</v>
      </c>
      <c r="D992">
        <v>17.05</v>
      </c>
    </row>
    <row r="993" spans="1:4" x14ac:dyDescent="0.3">
      <c r="A993" t="s">
        <v>82</v>
      </c>
      <c r="B993">
        <v>2020</v>
      </c>
      <c r="C993">
        <v>11.724504518186651</v>
      </c>
      <c r="D993">
        <v>15.51</v>
      </c>
    </row>
    <row r="994" spans="1:4" x14ac:dyDescent="0.3">
      <c r="A994" t="s">
        <v>82</v>
      </c>
      <c r="B994">
        <v>2021</v>
      </c>
      <c r="C994">
        <v>15.178281483405859</v>
      </c>
      <c r="D994">
        <v>19.72</v>
      </c>
    </row>
    <row r="995" spans="1:4" x14ac:dyDescent="0.3">
      <c r="A995" t="s">
        <v>82</v>
      </c>
      <c r="B995">
        <v>2022</v>
      </c>
      <c r="C995">
        <v>7.2680412371134029</v>
      </c>
      <c r="D995">
        <v>11.8</v>
      </c>
    </row>
    <row r="996" spans="1:4" x14ac:dyDescent="0.3">
      <c r="A996" t="s">
        <v>82</v>
      </c>
      <c r="B996">
        <v>2023</v>
      </c>
      <c r="C996">
        <v>12.71195535522644</v>
      </c>
      <c r="D996">
        <v>12.67</v>
      </c>
    </row>
    <row r="997" spans="1:4" x14ac:dyDescent="0.3">
      <c r="A997" t="s">
        <v>82</v>
      </c>
      <c r="B997">
        <v>2024</v>
      </c>
      <c r="C997">
        <v>8.3707675216152246</v>
      </c>
      <c r="D997">
        <v>10.33</v>
      </c>
    </row>
    <row r="998" spans="1:4" x14ac:dyDescent="0.3">
      <c r="A998" t="s">
        <v>83</v>
      </c>
    </row>
    <row r="999" spans="1:4" x14ac:dyDescent="0.3">
      <c r="A999" t="s">
        <v>83</v>
      </c>
      <c r="B999">
        <v>2013</v>
      </c>
      <c r="C999">
        <v>19.937312619242299</v>
      </c>
    </row>
    <row r="1000" spans="1:4" x14ac:dyDescent="0.3">
      <c r="A1000" t="s">
        <v>83</v>
      </c>
      <c r="B1000">
        <v>2014</v>
      </c>
      <c r="C1000">
        <v>15.957696827262041</v>
      </c>
    </row>
    <row r="1001" spans="1:4" x14ac:dyDescent="0.3">
      <c r="A1001" t="s">
        <v>83</v>
      </c>
      <c r="B1001">
        <v>2015</v>
      </c>
      <c r="C1001">
        <v>11.094323332613859</v>
      </c>
    </row>
    <row r="1002" spans="1:4" x14ac:dyDescent="0.3">
      <c r="A1002" t="s">
        <v>83</v>
      </c>
      <c r="B1002">
        <v>2016</v>
      </c>
      <c r="C1002">
        <v>11.63522012578616</v>
      </c>
    </row>
    <row r="1003" spans="1:4" x14ac:dyDescent="0.3">
      <c r="A1003" t="s">
        <v>83</v>
      </c>
      <c r="B1003">
        <v>2017</v>
      </c>
      <c r="C1003">
        <v>11.171902576773739</v>
      </c>
    </row>
    <row r="1004" spans="1:4" x14ac:dyDescent="0.3">
      <c r="A1004" t="s">
        <v>83</v>
      </c>
      <c r="B1004">
        <v>2018</v>
      </c>
      <c r="C1004">
        <v>18.619430241051859</v>
      </c>
      <c r="D1004">
        <v>14.01</v>
      </c>
    </row>
    <row r="1005" spans="1:4" x14ac:dyDescent="0.3">
      <c r="A1005" t="s">
        <v>83</v>
      </c>
      <c r="B1005">
        <v>2019</v>
      </c>
      <c r="C1005">
        <v>16.137317546827038</v>
      </c>
      <c r="D1005">
        <v>12.88</v>
      </c>
    </row>
    <row r="1006" spans="1:4" x14ac:dyDescent="0.3">
      <c r="A1006" t="s">
        <v>83</v>
      </c>
      <c r="B1006">
        <v>2020</v>
      </c>
      <c r="C1006">
        <v>13.846323448351891</v>
      </c>
      <c r="D1006">
        <v>12.53</v>
      </c>
    </row>
    <row r="1007" spans="1:4" x14ac:dyDescent="0.3">
      <c r="A1007" t="s">
        <v>83</v>
      </c>
      <c r="B1007">
        <v>2021</v>
      </c>
      <c r="C1007">
        <v>11.507114242298661</v>
      </c>
      <c r="D1007">
        <v>10.96</v>
      </c>
    </row>
    <row r="1008" spans="1:4" x14ac:dyDescent="0.3">
      <c r="A1008" t="s">
        <v>83</v>
      </c>
      <c r="B1008">
        <v>2022</v>
      </c>
      <c r="C1008">
        <v>10.427284920482849</v>
      </c>
      <c r="D1008">
        <v>12.05</v>
      </c>
    </row>
    <row r="1009" spans="1:4" x14ac:dyDescent="0.3">
      <c r="A1009" t="s">
        <v>83</v>
      </c>
      <c r="B1009">
        <v>2023</v>
      </c>
      <c r="C1009">
        <v>13.83526383526384</v>
      </c>
      <c r="D1009">
        <v>17.690000000000001</v>
      </c>
    </row>
    <row r="1010" spans="1:4" x14ac:dyDescent="0.3">
      <c r="A1010" t="s">
        <v>83</v>
      </c>
      <c r="B1010">
        <v>2024</v>
      </c>
      <c r="C1010">
        <v>15.116350338120821</v>
      </c>
      <c r="D1010">
        <v>18.559999999999999</v>
      </c>
    </row>
    <row r="1011" spans="1:4" x14ac:dyDescent="0.3">
      <c r="A1011" t="s">
        <v>84</v>
      </c>
      <c r="B1011">
        <v>2011</v>
      </c>
      <c r="C1011">
        <v>22.746331236897269</v>
      </c>
    </row>
    <row r="1012" spans="1:4" x14ac:dyDescent="0.3">
      <c r="A1012" t="s">
        <v>84</v>
      </c>
      <c r="B1012">
        <v>2014</v>
      </c>
      <c r="C1012">
        <v>13.782857142857139</v>
      </c>
    </row>
    <row r="1013" spans="1:4" x14ac:dyDescent="0.3">
      <c r="A1013" t="s">
        <v>84</v>
      </c>
      <c r="B1013">
        <v>2015</v>
      </c>
      <c r="C1013">
        <v>22.943130740668359</v>
      </c>
    </row>
    <row r="1014" spans="1:4" x14ac:dyDescent="0.3">
      <c r="A1014" t="s">
        <v>84</v>
      </c>
      <c r="B1014">
        <v>2016</v>
      </c>
      <c r="C1014">
        <v>42.834043804204022</v>
      </c>
      <c r="D1014">
        <v>-1.94</v>
      </c>
    </row>
    <row r="1015" spans="1:4" x14ac:dyDescent="0.3">
      <c r="A1015" t="s">
        <v>84</v>
      </c>
      <c r="B1015">
        <v>2017</v>
      </c>
      <c r="C1015">
        <v>14.785435630689211</v>
      </c>
    </row>
    <row r="1016" spans="1:4" x14ac:dyDescent="0.3">
      <c r="A1016" t="s">
        <v>84</v>
      </c>
      <c r="B1016">
        <v>2018</v>
      </c>
      <c r="C1016">
        <v>10.85672972647307</v>
      </c>
    </row>
    <row r="1017" spans="1:4" x14ac:dyDescent="0.3">
      <c r="A1017" t="s">
        <v>84</v>
      </c>
      <c r="B1017">
        <v>2019</v>
      </c>
      <c r="C1017">
        <v>12.1449883965079</v>
      </c>
      <c r="D1017">
        <v>4.1500000000000004</v>
      </c>
    </row>
    <row r="1018" spans="1:4" x14ac:dyDescent="0.3">
      <c r="A1018" t="s">
        <v>84</v>
      </c>
      <c r="B1018">
        <v>2020</v>
      </c>
      <c r="C1018">
        <v>8.1015592077538994</v>
      </c>
      <c r="D1018">
        <v>-1.2</v>
      </c>
    </row>
    <row r="1019" spans="1:4" x14ac:dyDescent="0.3">
      <c r="A1019" t="s">
        <v>84</v>
      </c>
      <c r="B1019">
        <v>2021</v>
      </c>
      <c r="C1019">
        <v>10.52478979414323</v>
      </c>
      <c r="D1019">
        <v>4.0199999999999996</v>
      </c>
    </row>
    <row r="1020" spans="1:4" x14ac:dyDescent="0.3">
      <c r="A1020" t="s">
        <v>84</v>
      </c>
      <c r="B1020">
        <v>2022</v>
      </c>
      <c r="C1020">
        <v>13.290267011197241</v>
      </c>
      <c r="D1020">
        <v>7.84</v>
      </c>
    </row>
    <row r="1021" spans="1:4" x14ac:dyDescent="0.3">
      <c r="A1021" t="s">
        <v>84</v>
      </c>
      <c r="B1021">
        <v>2023</v>
      </c>
      <c r="C1021">
        <v>14.991976770841291</v>
      </c>
      <c r="D1021">
        <v>8.85</v>
      </c>
    </row>
    <row r="1022" spans="1:4" x14ac:dyDescent="0.3">
      <c r="A1022" t="s">
        <v>84</v>
      </c>
      <c r="B1022">
        <v>2024</v>
      </c>
      <c r="C1022">
        <v>17.69876929087712</v>
      </c>
      <c r="D1022">
        <v>11.19</v>
      </c>
    </row>
    <row r="1023" spans="1:4" x14ac:dyDescent="0.3">
      <c r="A1023" t="s">
        <v>85</v>
      </c>
    </row>
    <row r="1024" spans="1:4" x14ac:dyDescent="0.3">
      <c r="A1024" t="s">
        <v>85</v>
      </c>
      <c r="B1024">
        <v>2013</v>
      </c>
      <c r="C1024">
        <v>23.142094729819881</v>
      </c>
    </row>
    <row r="1025" spans="1:4" x14ac:dyDescent="0.3">
      <c r="A1025" t="s">
        <v>85</v>
      </c>
      <c r="B1025">
        <v>2014</v>
      </c>
      <c r="C1025">
        <v>20.939271255060731</v>
      </c>
    </row>
    <row r="1026" spans="1:4" x14ac:dyDescent="0.3">
      <c r="A1026" t="s">
        <v>85</v>
      </c>
      <c r="B1026">
        <v>2015</v>
      </c>
      <c r="C1026">
        <v>21.358920352601611</v>
      </c>
    </row>
    <row r="1027" spans="1:4" x14ac:dyDescent="0.3">
      <c r="A1027" t="s">
        <v>85</v>
      </c>
      <c r="B1027">
        <v>2016</v>
      </c>
      <c r="C1027">
        <v>17.15429160476609</v>
      </c>
    </row>
    <row r="1028" spans="1:4" x14ac:dyDescent="0.3">
      <c r="A1028" t="s">
        <v>85</v>
      </c>
      <c r="B1028">
        <v>2017</v>
      </c>
      <c r="C1028">
        <v>21.41375545851529</v>
      </c>
    </row>
    <row r="1029" spans="1:4" x14ac:dyDescent="0.3">
      <c r="A1029" t="s">
        <v>85</v>
      </c>
      <c r="B1029">
        <v>2018</v>
      </c>
      <c r="C1029">
        <v>6.6346505193923893</v>
      </c>
      <c r="D1029">
        <v>18.93</v>
      </c>
    </row>
    <row r="1030" spans="1:4" x14ac:dyDescent="0.3">
      <c r="A1030" t="s">
        <v>85</v>
      </c>
      <c r="B1030">
        <v>2019</v>
      </c>
      <c r="C1030">
        <v>7.7471081165930116</v>
      </c>
      <c r="D1030">
        <v>12.57</v>
      </c>
    </row>
    <row r="1031" spans="1:4" x14ac:dyDescent="0.3">
      <c r="A1031" t="s">
        <v>85</v>
      </c>
      <c r="B1031">
        <v>2020</v>
      </c>
      <c r="C1031">
        <v>9.216834198608197</v>
      </c>
      <c r="D1031">
        <v>3.69</v>
      </c>
    </row>
    <row r="1032" spans="1:4" x14ac:dyDescent="0.3">
      <c r="A1032" t="s">
        <v>85</v>
      </c>
      <c r="B1032">
        <v>2021</v>
      </c>
      <c r="C1032">
        <v>4.8899124034177728</v>
      </c>
      <c r="D1032">
        <v>3.29</v>
      </c>
    </row>
    <row r="1033" spans="1:4" x14ac:dyDescent="0.3">
      <c r="A1033" t="s">
        <v>85</v>
      </c>
      <c r="B1033">
        <v>2022</v>
      </c>
      <c r="C1033">
        <v>7.0587990252233874</v>
      </c>
      <c r="D1033">
        <v>4.13</v>
      </c>
    </row>
    <row r="1034" spans="1:4" x14ac:dyDescent="0.3">
      <c r="A1034" t="s">
        <v>85</v>
      </c>
      <c r="B1034">
        <v>2023</v>
      </c>
      <c r="C1034">
        <v>15.20314313778016</v>
      </c>
      <c r="D1034">
        <v>10.62</v>
      </c>
    </row>
    <row r="1035" spans="1:4" x14ac:dyDescent="0.3">
      <c r="A1035" t="s">
        <v>85</v>
      </c>
      <c r="B1035">
        <v>2024</v>
      </c>
      <c r="C1035">
        <v>15.094161810671149</v>
      </c>
      <c r="D1035">
        <v>10.78</v>
      </c>
    </row>
    <row r="1036" spans="1:4" x14ac:dyDescent="0.3">
      <c r="A1036" t="s">
        <v>86</v>
      </c>
    </row>
    <row r="1037" spans="1:4" x14ac:dyDescent="0.3">
      <c r="A1037" t="s">
        <v>86</v>
      </c>
      <c r="B1037">
        <v>2013</v>
      </c>
      <c r="C1037">
        <v>9.251559251559252</v>
      </c>
    </row>
    <row r="1038" spans="1:4" x14ac:dyDescent="0.3">
      <c r="A1038" t="s">
        <v>86</v>
      </c>
      <c r="B1038">
        <v>2014</v>
      </c>
      <c r="C1038">
        <v>8.7194392203795523</v>
      </c>
    </row>
    <row r="1039" spans="1:4" x14ac:dyDescent="0.3">
      <c r="A1039" t="s">
        <v>86</v>
      </c>
      <c r="B1039">
        <v>2015</v>
      </c>
      <c r="C1039">
        <v>4.9699617695248497</v>
      </c>
    </row>
    <row r="1040" spans="1:4" x14ac:dyDescent="0.3">
      <c r="A1040" t="s">
        <v>86</v>
      </c>
      <c r="B1040">
        <v>2016</v>
      </c>
      <c r="C1040">
        <v>-0.59228429646230185</v>
      </c>
    </row>
    <row r="1041" spans="1:4" x14ac:dyDescent="0.3">
      <c r="A1041" t="s">
        <v>86</v>
      </c>
      <c r="B1041">
        <v>2017</v>
      </c>
      <c r="C1041">
        <v>7.2625698324022352</v>
      </c>
    </row>
    <row r="1042" spans="1:4" x14ac:dyDescent="0.3">
      <c r="A1042" t="s">
        <v>86</v>
      </c>
      <c r="B1042">
        <v>2018</v>
      </c>
      <c r="C1042">
        <v>7.9078367230834878</v>
      </c>
      <c r="D1042">
        <v>-1.5</v>
      </c>
    </row>
    <row r="1043" spans="1:4" x14ac:dyDescent="0.3">
      <c r="A1043" t="s">
        <v>86</v>
      </c>
      <c r="B1043">
        <v>2019</v>
      </c>
      <c r="C1043">
        <v>6.2329514457174033</v>
      </c>
      <c r="D1043">
        <v>-1.29</v>
      </c>
    </row>
    <row r="1044" spans="1:4" x14ac:dyDescent="0.3">
      <c r="A1044" t="s">
        <v>86</v>
      </c>
      <c r="B1044">
        <v>2020</v>
      </c>
      <c r="C1044">
        <v>3.3297140788997468</v>
      </c>
      <c r="D1044">
        <v>3.81</v>
      </c>
    </row>
    <row r="1045" spans="1:4" x14ac:dyDescent="0.3">
      <c r="A1045" t="s">
        <v>86</v>
      </c>
      <c r="B1045">
        <v>2021</v>
      </c>
      <c r="C1045">
        <v>6.3987890463740191</v>
      </c>
      <c r="D1045">
        <v>11.82</v>
      </c>
    </row>
    <row r="1046" spans="1:4" x14ac:dyDescent="0.3">
      <c r="A1046" t="s">
        <v>86</v>
      </c>
      <c r="B1046">
        <v>2022</v>
      </c>
      <c r="C1046">
        <v>6.7032096156386212</v>
      </c>
      <c r="D1046">
        <v>12.88</v>
      </c>
    </row>
    <row r="1047" spans="1:4" x14ac:dyDescent="0.3">
      <c r="A1047" t="s">
        <v>86</v>
      </c>
      <c r="B1047">
        <v>2023</v>
      </c>
      <c r="C1047">
        <v>8.1096025066044124</v>
      </c>
      <c r="D1047">
        <v>15.13</v>
      </c>
    </row>
    <row r="1048" spans="1:4" x14ac:dyDescent="0.3">
      <c r="A1048" t="s">
        <v>86</v>
      </c>
      <c r="B1048">
        <v>2024</v>
      </c>
      <c r="C1048">
        <v>7.5667932988727662</v>
      </c>
      <c r="D1048">
        <v>15.96</v>
      </c>
    </row>
    <row r="1049" spans="1:4" x14ac:dyDescent="0.3">
      <c r="A1049" t="s">
        <v>87</v>
      </c>
    </row>
    <row r="1050" spans="1:4" x14ac:dyDescent="0.3">
      <c r="A1050" t="s">
        <v>87</v>
      </c>
      <c r="B1050">
        <v>2013</v>
      </c>
      <c r="C1050">
        <v>26.50583202699471</v>
      </c>
    </row>
    <row r="1051" spans="1:4" x14ac:dyDescent="0.3">
      <c r="A1051" t="s">
        <v>87</v>
      </c>
      <c r="B1051">
        <v>2014</v>
      </c>
      <c r="C1051">
        <v>21.416377050179861</v>
      </c>
    </row>
    <row r="1052" spans="1:4" x14ac:dyDescent="0.3">
      <c r="A1052" t="s">
        <v>87</v>
      </c>
      <c r="B1052">
        <v>2015</v>
      </c>
      <c r="C1052">
        <v>25.013330489495569</v>
      </c>
    </row>
    <row r="1053" spans="1:4" x14ac:dyDescent="0.3">
      <c r="A1053" t="s">
        <v>87</v>
      </c>
      <c r="B1053">
        <v>2016</v>
      </c>
      <c r="C1053">
        <v>14.79126557908603</v>
      </c>
    </row>
    <row r="1054" spans="1:4" x14ac:dyDescent="0.3">
      <c r="A1054" t="s">
        <v>87</v>
      </c>
      <c r="B1054">
        <v>2017</v>
      </c>
      <c r="C1054">
        <v>13.01539733388447</v>
      </c>
    </row>
    <row r="1055" spans="1:4" x14ac:dyDescent="0.3">
      <c r="A1055" t="s">
        <v>87</v>
      </c>
      <c r="B1055">
        <v>2018</v>
      </c>
      <c r="C1055">
        <v>9.5265540512218632</v>
      </c>
      <c r="D1055">
        <v>9.08</v>
      </c>
    </row>
    <row r="1056" spans="1:4" x14ac:dyDescent="0.3">
      <c r="A1056" t="s">
        <v>87</v>
      </c>
      <c r="B1056">
        <v>2019</v>
      </c>
      <c r="C1056">
        <v>-47.730936040811578</v>
      </c>
      <c r="D1056">
        <v>5.34</v>
      </c>
    </row>
    <row r="1057" spans="1:4" x14ac:dyDescent="0.3">
      <c r="A1057" t="s">
        <v>87</v>
      </c>
      <c r="B1057">
        <v>2020</v>
      </c>
      <c r="C1057">
        <v>-18.98413101032039</v>
      </c>
      <c r="D1057">
        <v>-0.16</v>
      </c>
    </row>
    <row r="1058" spans="1:4" x14ac:dyDescent="0.3">
      <c r="A1058" t="s">
        <v>87</v>
      </c>
      <c r="B1058">
        <v>2021</v>
      </c>
      <c r="C1058">
        <v>-24.245660397849662</v>
      </c>
      <c r="D1058">
        <v>-1.76</v>
      </c>
    </row>
    <row r="1059" spans="1:4" x14ac:dyDescent="0.3">
      <c r="A1059" t="s">
        <v>87</v>
      </c>
      <c r="B1059">
        <v>2022</v>
      </c>
      <c r="C1059">
        <v>-25.378694374004169</v>
      </c>
      <c r="D1059">
        <v>0.64</v>
      </c>
    </row>
    <row r="1060" spans="1:4" x14ac:dyDescent="0.3">
      <c r="A1060" t="s">
        <v>87</v>
      </c>
      <c r="B1060">
        <v>2023</v>
      </c>
      <c r="C1060">
        <v>5.9353073562508278</v>
      </c>
      <c r="D1060">
        <v>3.48</v>
      </c>
    </row>
    <row r="1061" spans="1:4" x14ac:dyDescent="0.3">
      <c r="A1061" t="s">
        <v>87</v>
      </c>
      <c r="B1061">
        <v>2024</v>
      </c>
      <c r="C1061">
        <v>37.456134152947548</v>
      </c>
      <c r="D1061">
        <v>7.72</v>
      </c>
    </row>
    <row r="1062" spans="1:4" x14ac:dyDescent="0.3">
      <c r="A1062" t="s">
        <v>88</v>
      </c>
    </row>
    <row r="1063" spans="1:4" x14ac:dyDescent="0.3">
      <c r="A1063" t="s">
        <v>88</v>
      </c>
      <c r="B1063">
        <v>2013</v>
      </c>
      <c r="C1063">
        <v>0.99716254560194562</v>
      </c>
    </row>
    <row r="1064" spans="1:4" x14ac:dyDescent="0.3">
      <c r="A1064" t="s">
        <v>88</v>
      </c>
      <c r="B1064">
        <v>2014</v>
      </c>
      <c r="C1064">
        <v>9.6766389807273603E-2</v>
      </c>
    </row>
    <row r="1065" spans="1:4" x14ac:dyDescent="0.3">
      <c r="A1065" t="s">
        <v>88</v>
      </c>
      <c r="B1065">
        <v>2015</v>
      </c>
      <c r="C1065">
        <v>3.191786562369046</v>
      </c>
    </row>
    <row r="1066" spans="1:4" x14ac:dyDescent="0.3">
      <c r="A1066" t="s">
        <v>88</v>
      </c>
      <c r="B1066">
        <v>2016</v>
      </c>
      <c r="C1066">
        <v>6.7566405914209584</v>
      </c>
    </row>
    <row r="1067" spans="1:4" x14ac:dyDescent="0.3">
      <c r="A1067" t="s">
        <v>88</v>
      </c>
      <c r="B1067">
        <v>2017</v>
      </c>
      <c r="C1067">
        <v>8.3245043136067807</v>
      </c>
    </row>
    <row r="1068" spans="1:4" x14ac:dyDescent="0.3">
      <c r="A1068" t="s">
        <v>88</v>
      </c>
      <c r="B1068">
        <v>2018</v>
      </c>
      <c r="C1068">
        <v>15.921702542837981</v>
      </c>
      <c r="D1068">
        <v>-4.1500000000000004</v>
      </c>
    </row>
    <row r="1069" spans="1:4" x14ac:dyDescent="0.3">
      <c r="A1069" t="s">
        <v>88</v>
      </c>
      <c r="B1069">
        <v>2019</v>
      </c>
      <c r="C1069">
        <v>14.236547391423111</v>
      </c>
      <c r="D1069">
        <v>-3.51</v>
      </c>
    </row>
    <row r="1070" spans="1:4" x14ac:dyDescent="0.3">
      <c r="A1070" t="s">
        <v>88</v>
      </c>
      <c r="B1070">
        <v>2020</v>
      </c>
      <c r="C1070">
        <v>6.725953184094859</v>
      </c>
      <c r="D1070">
        <v>-2.81</v>
      </c>
    </row>
    <row r="1071" spans="1:4" x14ac:dyDescent="0.3">
      <c r="A1071" t="s">
        <v>88</v>
      </c>
      <c r="B1071">
        <v>2021</v>
      </c>
      <c r="C1071">
        <v>6.4462661828607271</v>
      </c>
      <c r="D1071">
        <v>2.09</v>
      </c>
    </row>
    <row r="1072" spans="1:4" x14ac:dyDescent="0.3">
      <c r="A1072" t="s">
        <v>88</v>
      </c>
      <c r="B1072">
        <v>2022</v>
      </c>
      <c r="C1072">
        <v>9.606986899563319</v>
      </c>
      <c r="D1072">
        <v>9.19</v>
      </c>
    </row>
    <row r="1073" spans="1:4" x14ac:dyDescent="0.3">
      <c r="A1073" t="s">
        <v>88</v>
      </c>
      <c r="B1073">
        <v>2023</v>
      </c>
      <c r="C1073">
        <v>13.234681117132141</v>
      </c>
      <c r="D1073">
        <v>15.48</v>
      </c>
    </row>
    <row r="1074" spans="1:4" x14ac:dyDescent="0.3">
      <c r="A1074" t="s">
        <v>88</v>
      </c>
      <c r="B1074">
        <v>2024</v>
      </c>
      <c r="C1074">
        <v>13.22784027691927</v>
      </c>
      <c r="D1074">
        <v>15.51</v>
      </c>
    </row>
    <row r="1075" spans="1:4" x14ac:dyDescent="0.3">
      <c r="A1075" t="s">
        <v>89</v>
      </c>
    </row>
    <row r="1076" spans="1:4" x14ac:dyDescent="0.3">
      <c r="A1076" t="s">
        <v>89</v>
      </c>
      <c r="B1076">
        <v>2013</v>
      </c>
      <c r="C1076">
        <v>-21.280580592297792</v>
      </c>
    </row>
    <row r="1077" spans="1:4" x14ac:dyDescent="0.3">
      <c r="A1077" t="s">
        <v>89</v>
      </c>
      <c r="B1077">
        <v>2014</v>
      </c>
      <c r="C1077">
        <v>9.0422382315207734</v>
      </c>
    </row>
    <row r="1078" spans="1:4" x14ac:dyDescent="0.3">
      <c r="A1078" t="s">
        <v>89</v>
      </c>
      <c r="B1078">
        <v>2015</v>
      </c>
      <c r="C1078">
        <v>-12.56499409869533</v>
      </c>
    </row>
    <row r="1079" spans="1:4" x14ac:dyDescent="0.3">
      <c r="A1079" t="s">
        <v>89</v>
      </c>
      <c r="B1079">
        <v>2016</v>
      </c>
      <c r="C1079">
        <v>-1.1364675752309521</v>
      </c>
    </row>
    <row r="1080" spans="1:4" x14ac:dyDescent="0.3">
      <c r="A1080" t="s">
        <v>89</v>
      </c>
      <c r="B1080">
        <v>2017</v>
      </c>
      <c r="C1080">
        <v>-11.023559586451251</v>
      </c>
    </row>
    <row r="1081" spans="1:4" x14ac:dyDescent="0.3">
      <c r="A1081" t="s">
        <v>89</v>
      </c>
      <c r="B1081">
        <v>2018</v>
      </c>
      <c r="C1081">
        <v>29.148527213287121</v>
      </c>
      <c r="D1081">
        <v>-1.76</v>
      </c>
    </row>
    <row r="1082" spans="1:4" x14ac:dyDescent="0.3">
      <c r="A1082" t="s">
        <v>89</v>
      </c>
      <c r="B1082">
        <v>2019</v>
      </c>
      <c r="C1082">
        <v>13.23467537178092</v>
      </c>
      <c r="D1082">
        <v>1.19</v>
      </c>
    </row>
    <row r="1083" spans="1:4" x14ac:dyDescent="0.3">
      <c r="A1083" t="s">
        <v>89</v>
      </c>
      <c r="B1083">
        <v>2020</v>
      </c>
      <c r="C1083">
        <v>1.5956290094596071</v>
      </c>
      <c r="D1083">
        <v>0.04</v>
      </c>
    </row>
    <row r="1084" spans="1:4" x14ac:dyDescent="0.3">
      <c r="A1084" t="s">
        <v>89</v>
      </c>
      <c r="B1084">
        <v>2021</v>
      </c>
      <c r="C1084">
        <v>11.031937391398049</v>
      </c>
      <c r="D1084">
        <v>8.92</v>
      </c>
    </row>
    <row r="1085" spans="1:4" x14ac:dyDescent="0.3">
      <c r="A1085" t="s">
        <v>89</v>
      </c>
      <c r="B1085">
        <v>2022</v>
      </c>
      <c r="C1085">
        <v>36.480169167183661</v>
      </c>
      <c r="D1085">
        <v>16.79</v>
      </c>
    </row>
    <row r="1086" spans="1:4" x14ac:dyDescent="0.3">
      <c r="A1086" t="s">
        <v>89</v>
      </c>
      <c r="B1086">
        <v>2023</v>
      </c>
      <c r="C1086">
        <v>7.8335693913583357</v>
      </c>
      <c r="D1086">
        <v>14.58</v>
      </c>
    </row>
    <row r="1087" spans="1:4" x14ac:dyDescent="0.3">
      <c r="A1087" t="s">
        <v>89</v>
      </c>
      <c r="B1087">
        <v>2024</v>
      </c>
      <c r="C1087">
        <v>-5.3349269299722932</v>
      </c>
      <c r="D1087">
        <v>7.77</v>
      </c>
    </row>
    <row r="1088" spans="1:4" x14ac:dyDescent="0.3">
      <c r="A1088" t="s">
        <v>90</v>
      </c>
    </row>
    <row r="1089" spans="1:4" x14ac:dyDescent="0.3">
      <c r="A1089" t="s">
        <v>90</v>
      </c>
      <c r="B1089">
        <v>2013</v>
      </c>
      <c r="C1089">
        <v>36.51740777253152</v>
      </c>
    </row>
    <row r="1090" spans="1:4" x14ac:dyDescent="0.3">
      <c r="A1090" t="s">
        <v>90</v>
      </c>
      <c r="B1090">
        <v>2014</v>
      </c>
      <c r="C1090">
        <v>39.296676491513367</v>
      </c>
    </row>
    <row r="1091" spans="1:4" x14ac:dyDescent="0.3">
      <c r="A1091" t="s">
        <v>90</v>
      </c>
      <c r="B1091">
        <v>2015</v>
      </c>
      <c r="C1091">
        <v>39.616865804285567</v>
      </c>
    </row>
    <row r="1092" spans="1:4" x14ac:dyDescent="0.3">
      <c r="A1092" t="s">
        <v>90</v>
      </c>
      <c r="B1092">
        <v>2016</v>
      </c>
      <c r="C1092">
        <v>34.244146780729402</v>
      </c>
    </row>
    <row r="1093" spans="1:4" x14ac:dyDescent="0.3">
      <c r="A1093" t="s">
        <v>90</v>
      </c>
      <c r="B1093">
        <v>2017</v>
      </c>
      <c r="C1093">
        <v>30.57160090008583</v>
      </c>
    </row>
    <row r="1094" spans="1:4" x14ac:dyDescent="0.3">
      <c r="A1094" t="s">
        <v>90</v>
      </c>
      <c r="B1094">
        <v>2018</v>
      </c>
      <c r="C1094">
        <v>30.40127807536885</v>
      </c>
      <c r="D1094">
        <v>14.34</v>
      </c>
    </row>
    <row r="1095" spans="1:4" x14ac:dyDescent="0.3">
      <c r="A1095" t="s">
        <v>90</v>
      </c>
      <c r="B1095">
        <v>2019</v>
      </c>
      <c r="C1095">
        <v>35.286094403327148</v>
      </c>
      <c r="D1095">
        <v>12.35</v>
      </c>
    </row>
    <row r="1096" spans="1:4" x14ac:dyDescent="0.3">
      <c r="A1096" t="s">
        <v>90</v>
      </c>
      <c r="B1096">
        <v>2020</v>
      </c>
      <c r="C1096">
        <v>38.569526662387368</v>
      </c>
      <c r="D1096">
        <v>10.64</v>
      </c>
    </row>
    <row r="1097" spans="1:4" x14ac:dyDescent="0.3">
      <c r="A1097" t="s">
        <v>90</v>
      </c>
      <c r="B1097">
        <v>2021</v>
      </c>
      <c r="C1097">
        <v>37.673110964562149</v>
      </c>
      <c r="D1097">
        <v>8.61</v>
      </c>
    </row>
    <row r="1098" spans="1:4" x14ac:dyDescent="0.3">
      <c r="A1098" t="s">
        <v>90</v>
      </c>
      <c r="B1098">
        <v>2022</v>
      </c>
      <c r="C1098">
        <v>43.133757390143487</v>
      </c>
      <c r="D1098">
        <v>10.199999999999999</v>
      </c>
    </row>
    <row r="1099" spans="1:4" x14ac:dyDescent="0.3">
      <c r="A1099" t="s">
        <v>90</v>
      </c>
      <c r="B1099">
        <v>2023</v>
      </c>
      <c r="C1099">
        <v>46.782933734406797</v>
      </c>
      <c r="D1099">
        <v>12.86</v>
      </c>
    </row>
    <row r="1100" spans="1:4" x14ac:dyDescent="0.3">
      <c r="A1100" t="s">
        <v>90</v>
      </c>
      <c r="B1100">
        <v>2024</v>
      </c>
      <c r="C1100">
        <v>50.944313673485183</v>
      </c>
      <c r="D1100">
        <v>10.46</v>
      </c>
    </row>
    <row r="1101" spans="1:4" x14ac:dyDescent="0.3">
      <c r="A1101" t="s">
        <v>91</v>
      </c>
    </row>
    <row r="1102" spans="1:4" x14ac:dyDescent="0.3">
      <c r="A1102" t="s">
        <v>91</v>
      </c>
      <c r="B1102">
        <v>2013</v>
      </c>
      <c r="C1102">
        <v>24.087725764835969</v>
      </c>
    </row>
    <row r="1103" spans="1:4" x14ac:dyDescent="0.3">
      <c r="A1103" t="s">
        <v>91</v>
      </c>
      <c r="B1103">
        <v>2014</v>
      </c>
      <c r="C1103">
        <v>33.347854497930733</v>
      </c>
    </row>
    <row r="1104" spans="1:4" x14ac:dyDescent="0.3">
      <c r="A1104" t="s">
        <v>91</v>
      </c>
      <c r="B1104">
        <v>2015</v>
      </c>
      <c r="C1104">
        <v>21.709666884389289</v>
      </c>
    </row>
    <row r="1105" spans="1:4" x14ac:dyDescent="0.3">
      <c r="A1105" t="s">
        <v>91</v>
      </c>
      <c r="B1105">
        <v>2016</v>
      </c>
      <c r="C1105">
        <v>20.74566513604276</v>
      </c>
    </row>
    <row r="1106" spans="1:4" x14ac:dyDescent="0.3">
      <c r="A1106" t="s">
        <v>91</v>
      </c>
      <c r="B1106">
        <v>2017</v>
      </c>
      <c r="C1106">
        <v>17.345014297012838</v>
      </c>
    </row>
    <row r="1107" spans="1:4" x14ac:dyDescent="0.3">
      <c r="A1107" t="s">
        <v>91</v>
      </c>
      <c r="B1107">
        <v>2018</v>
      </c>
      <c r="C1107">
        <v>20.092341983760551</v>
      </c>
      <c r="D1107">
        <v>34.96</v>
      </c>
    </row>
    <row r="1108" spans="1:4" x14ac:dyDescent="0.3">
      <c r="A1108" t="s">
        <v>91</v>
      </c>
      <c r="B1108">
        <v>2019</v>
      </c>
      <c r="C1108">
        <v>21.143702243036731</v>
      </c>
      <c r="D1108">
        <v>13.07</v>
      </c>
    </row>
    <row r="1109" spans="1:4" x14ac:dyDescent="0.3">
      <c r="A1109" t="s">
        <v>91</v>
      </c>
      <c r="B1109">
        <v>2020</v>
      </c>
      <c r="C1109">
        <v>17.865493054600471</v>
      </c>
      <c r="D1109">
        <v>10.26</v>
      </c>
    </row>
    <row r="1110" spans="1:4" x14ac:dyDescent="0.3">
      <c r="A1110" t="s">
        <v>91</v>
      </c>
      <c r="B1110">
        <v>2021</v>
      </c>
      <c r="C1110">
        <v>17.506535290569069</v>
      </c>
      <c r="D1110">
        <v>7.4</v>
      </c>
    </row>
    <row r="1111" spans="1:4" x14ac:dyDescent="0.3">
      <c r="A1111" t="s">
        <v>91</v>
      </c>
      <c r="B1111">
        <v>2022</v>
      </c>
      <c r="C1111">
        <v>20.940266309603508</v>
      </c>
      <c r="D1111">
        <v>8.91</v>
      </c>
    </row>
    <row r="1112" spans="1:4" x14ac:dyDescent="0.3">
      <c r="A1112" t="s">
        <v>91</v>
      </c>
      <c r="B1112">
        <v>2023</v>
      </c>
      <c r="C1112">
        <v>17.393639879673401</v>
      </c>
      <c r="D1112">
        <v>11.61</v>
      </c>
    </row>
    <row r="1113" spans="1:4" x14ac:dyDescent="0.3">
      <c r="A1113" t="s">
        <v>91</v>
      </c>
      <c r="B1113">
        <v>2024</v>
      </c>
      <c r="C1113">
        <v>8.9879635531890969</v>
      </c>
      <c r="D1113">
        <v>8.4</v>
      </c>
    </row>
    <row r="1114" spans="1:4" x14ac:dyDescent="0.3">
      <c r="A1114" t="s">
        <v>92</v>
      </c>
    </row>
    <row r="1115" spans="1:4" x14ac:dyDescent="0.3">
      <c r="A1115" t="s">
        <v>92</v>
      </c>
      <c r="B1115">
        <v>2013</v>
      </c>
      <c r="C1115">
        <v>36.802030456852791</v>
      </c>
    </row>
    <row r="1116" spans="1:4" x14ac:dyDescent="0.3">
      <c r="A1116" t="s">
        <v>92</v>
      </c>
      <c r="B1116">
        <v>2014</v>
      </c>
      <c r="C1116">
        <v>29.131985731272302</v>
      </c>
    </row>
    <row r="1117" spans="1:4" x14ac:dyDescent="0.3">
      <c r="A1117" t="s">
        <v>92</v>
      </c>
      <c r="B1117">
        <v>2015</v>
      </c>
      <c r="C1117">
        <v>26.459143968871601</v>
      </c>
    </row>
    <row r="1118" spans="1:4" x14ac:dyDescent="0.3">
      <c r="A1118" t="s">
        <v>92</v>
      </c>
      <c r="B1118">
        <v>2016</v>
      </c>
      <c r="C1118">
        <v>19.24721984602224</v>
      </c>
    </row>
    <row r="1119" spans="1:4" x14ac:dyDescent="0.3">
      <c r="A1119" t="s">
        <v>92</v>
      </c>
      <c r="B1119">
        <v>2017</v>
      </c>
      <c r="C1119">
        <v>16.46586345381526</v>
      </c>
    </row>
    <row r="1120" spans="1:4" x14ac:dyDescent="0.3">
      <c r="A1120" t="s">
        <v>92</v>
      </c>
      <c r="B1120">
        <v>2018</v>
      </c>
      <c r="C1120">
        <v>21.650294695481339</v>
      </c>
      <c r="D1120">
        <v>9.75</v>
      </c>
    </row>
    <row r="1121" spans="1:4" x14ac:dyDescent="0.3">
      <c r="A1121" t="s">
        <v>92</v>
      </c>
      <c r="B1121">
        <v>2019</v>
      </c>
      <c r="C1121">
        <v>22.883031301482699</v>
      </c>
      <c r="D1121">
        <v>12.6</v>
      </c>
    </row>
    <row r="1122" spans="1:4" x14ac:dyDescent="0.3">
      <c r="A1122" t="s">
        <v>92</v>
      </c>
      <c r="B1122">
        <v>2020</v>
      </c>
      <c r="C1122">
        <v>22.387164492427651</v>
      </c>
      <c r="D1122">
        <v>12.06</v>
      </c>
    </row>
    <row r="1123" spans="1:4" x14ac:dyDescent="0.3">
      <c r="A1123" t="s">
        <v>92</v>
      </c>
      <c r="B1123">
        <v>2021</v>
      </c>
      <c r="C1123">
        <v>12.99186341203148</v>
      </c>
      <c r="D1123">
        <v>13.93</v>
      </c>
    </row>
    <row r="1124" spans="1:4" x14ac:dyDescent="0.3">
      <c r="A1124" t="s">
        <v>92</v>
      </c>
      <c r="B1124">
        <v>2022</v>
      </c>
      <c r="C1124">
        <v>23.626787057938301</v>
      </c>
      <c r="D1124">
        <v>16.78</v>
      </c>
    </row>
    <row r="1125" spans="1:4" x14ac:dyDescent="0.3">
      <c r="A1125" t="s">
        <v>92</v>
      </c>
      <c r="B1125">
        <v>2023</v>
      </c>
      <c r="C1125">
        <v>27.62636064467134</v>
      </c>
      <c r="D1125">
        <v>20.28</v>
      </c>
    </row>
    <row r="1126" spans="1:4" x14ac:dyDescent="0.3">
      <c r="A1126" t="s">
        <v>92</v>
      </c>
      <c r="B1126">
        <v>2024</v>
      </c>
      <c r="C1126">
        <v>37.219205791546898</v>
      </c>
      <c r="D1126">
        <v>20.9</v>
      </c>
    </row>
    <row r="1127" spans="1:4" x14ac:dyDescent="0.3">
      <c r="A1127" t="s">
        <v>93</v>
      </c>
    </row>
    <row r="1128" spans="1:4" x14ac:dyDescent="0.3">
      <c r="A1128" t="s">
        <v>93</v>
      </c>
      <c r="B1128">
        <v>2013</v>
      </c>
      <c r="C1128">
        <v>30.59071729957806</v>
      </c>
    </row>
    <row r="1129" spans="1:4" x14ac:dyDescent="0.3">
      <c r="A1129" t="s">
        <v>93</v>
      </c>
      <c r="B1129">
        <v>2014</v>
      </c>
      <c r="C1129">
        <v>34.892275354703102</v>
      </c>
    </row>
    <row r="1130" spans="1:4" x14ac:dyDescent="0.3">
      <c r="A1130" t="s">
        <v>93</v>
      </c>
      <c r="B1130">
        <v>2015</v>
      </c>
      <c r="C1130">
        <v>30.14853472501003</v>
      </c>
    </row>
    <row r="1131" spans="1:4" x14ac:dyDescent="0.3">
      <c r="A1131" t="s">
        <v>93</v>
      </c>
      <c r="B1131">
        <v>2016</v>
      </c>
      <c r="C1131">
        <v>49.599313108185463</v>
      </c>
    </row>
    <row r="1132" spans="1:4" x14ac:dyDescent="0.3">
      <c r="A1132" t="s">
        <v>93</v>
      </c>
      <c r="B1132">
        <v>2017</v>
      </c>
      <c r="C1132">
        <v>21.466329579407031</v>
      </c>
    </row>
    <row r="1133" spans="1:4" x14ac:dyDescent="0.3">
      <c r="A1133" t="s">
        <v>93</v>
      </c>
      <c r="B1133">
        <v>2018</v>
      </c>
      <c r="C1133">
        <v>14.665801427644389</v>
      </c>
      <c r="D1133">
        <v>13.19</v>
      </c>
    </row>
    <row r="1134" spans="1:4" x14ac:dyDescent="0.3">
      <c r="A1134" t="s">
        <v>93</v>
      </c>
      <c r="B1134">
        <v>2019</v>
      </c>
      <c r="C1134">
        <v>9.2275132275132279</v>
      </c>
      <c r="D1134">
        <v>12.96</v>
      </c>
    </row>
    <row r="1135" spans="1:4" x14ac:dyDescent="0.3">
      <c r="A1135" t="s">
        <v>93</v>
      </c>
      <c r="B1135">
        <v>2020</v>
      </c>
      <c r="C1135">
        <v>21.247927031509121</v>
      </c>
      <c r="D1135">
        <v>11.36</v>
      </c>
    </row>
    <row r="1136" spans="1:4" x14ac:dyDescent="0.3">
      <c r="A1136" t="s">
        <v>93</v>
      </c>
      <c r="B1136">
        <v>2021</v>
      </c>
      <c r="C1136">
        <v>21.445700582391229</v>
      </c>
      <c r="D1136">
        <v>3.66</v>
      </c>
    </row>
    <row r="1137" spans="1:4" x14ac:dyDescent="0.3">
      <c r="A1137" t="s">
        <v>93</v>
      </c>
      <c r="B1137">
        <v>2022</v>
      </c>
      <c r="C1137">
        <v>13.05224256677306</v>
      </c>
      <c r="D1137">
        <v>7.9</v>
      </c>
    </row>
    <row r="1138" spans="1:4" x14ac:dyDescent="0.3">
      <c r="A1138" t="s">
        <v>93</v>
      </c>
      <c r="B1138">
        <v>2023</v>
      </c>
      <c r="C1138">
        <v>20.087124878993219</v>
      </c>
      <c r="D1138">
        <v>10.09</v>
      </c>
    </row>
    <row r="1139" spans="1:4" x14ac:dyDescent="0.3">
      <c r="A1139" t="s">
        <v>93</v>
      </c>
      <c r="B1139">
        <v>2024</v>
      </c>
      <c r="C1139">
        <v>24.15402567094516</v>
      </c>
      <c r="D1139">
        <v>6.93</v>
      </c>
    </row>
    <row r="1140" spans="1:4" x14ac:dyDescent="0.3">
      <c r="A1140" t="s">
        <v>94</v>
      </c>
    </row>
    <row r="1141" spans="1:4" x14ac:dyDescent="0.3">
      <c r="A1141" t="s">
        <v>94</v>
      </c>
      <c r="B1141">
        <v>2013</v>
      </c>
      <c r="C1141">
        <v>-2.1933387489845648</v>
      </c>
    </row>
    <row r="1142" spans="1:4" x14ac:dyDescent="0.3">
      <c r="A1142" t="s">
        <v>94</v>
      </c>
      <c r="B1142">
        <v>2014</v>
      </c>
      <c r="C1142">
        <v>-1.917255297679112</v>
      </c>
    </row>
    <row r="1143" spans="1:4" x14ac:dyDescent="0.3">
      <c r="A1143" t="s">
        <v>94</v>
      </c>
      <c r="B1143">
        <v>2015</v>
      </c>
      <c r="C1143">
        <v>9.071729957805907</v>
      </c>
    </row>
    <row r="1144" spans="1:4" x14ac:dyDescent="0.3">
      <c r="A1144" t="s">
        <v>94</v>
      </c>
      <c r="B1144">
        <v>2016</v>
      </c>
      <c r="C1144">
        <v>3.7568306010928958</v>
      </c>
    </row>
    <row r="1145" spans="1:4" x14ac:dyDescent="0.3">
      <c r="A1145" t="s">
        <v>94</v>
      </c>
      <c r="B1145">
        <v>2017</v>
      </c>
      <c r="C1145">
        <v>5.4945054945054954</v>
      </c>
    </row>
    <row r="1146" spans="1:4" x14ac:dyDescent="0.3">
      <c r="A1146" t="s">
        <v>94</v>
      </c>
      <c r="B1146">
        <v>2018</v>
      </c>
      <c r="C1146">
        <v>5.4545454545454541</v>
      </c>
      <c r="D1146">
        <v>0.23</v>
      </c>
    </row>
    <row r="1147" spans="1:4" x14ac:dyDescent="0.3">
      <c r="A1147" t="s">
        <v>94</v>
      </c>
      <c r="B1147">
        <v>2019</v>
      </c>
      <c r="C1147">
        <v>5.7715674362089917</v>
      </c>
      <c r="D1147">
        <v>2.4300000000000002</v>
      </c>
    </row>
    <row r="1148" spans="1:4" x14ac:dyDescent="0.3">
      <c r="A1148" t="s">
        <v>94</v>
      </c>
      <c r="B1148">
        <v>2020</v>
      </c>
      <c r="C1148">
        <v>4.4388609715242877</v>
      </c>
      <c r="D1148">
        <v>8.82</v>
      </c>
    </row>
    <row r="1149" spans="1:4" x14ac:dyDescent="0.3">
      <c r="A1149" t="s">
        <v>94</v>
      </c>
      <c r="B1149">
        <v>2021</v>
      </c>
      <c r="C1149">
        <v>-7.825335062689148</v>
      </c>
      <c r="D1149">
        <v>8.99</v>
      </c>
    </row>
    <row r="1150" spans="1:4" x14ac:dyDescent="0.3">
      <c r="A1150" t="s">
        <v>94</v>
      </c>
      <c r="B1150">
        <v>2022</v>
      </c>
      <c r="C1150">
        <v>1.480541455160745</v>
      </c>
      <c r="D1150">
        <v>19.940000000000001</v>
      </c>
    </row>
    <row r="1151" spans="1:4" x14ac:dyDescent="0.3">
      <c r="A1151" t="s">
        <v>94</v>
      </c>
      <c r="B1151">
        <v>2023</v>
      </c>
      <c r="C1151">
        <v>15.177195685670259</v>
      </c>
      <c r="D1151">
        <v>30.75</v>
      </c>
    </row>
    <row r="1152" spans="1:4" x14ac:dyDescent="0.3">
      <c r="A1152" t="s">
        <v>94</v>
      </c>
      <c r="B1152">
        <v>2024</v>
      </c>
      <c r="C1152">
        <v>36.307767944936089</v>
      </c>
      <c r="D1152">
        <v>36.31</v>
      </c>
    </row>
    <row r="1153" spans="1:4" x14ac:dyDescent="0.3">
      <c r="A1153" t="s">
        <v>95</v>
      </c>
    </row>
    <row r="1154" spans="1:4" x14ac:dyDescent="0.3">
      <c r="A1154" t="s">
        <v>95</v>
      </c>
      <c r="B1154">
        <v>2013</v>
      </c>
      <c r="C1154">
        <v>22.024471635150171</v>
      </c>
    </row>
    <row r="1155" spans="1:4" x14ac:dyDescent="0.3">
      <c r="A1155" t="s">
        <v>95</v>
      </c>
      <c r="B1155">
        <v>2014</v>
      </c>
      <c r="C1155">
        <v>16.106804478897502</v>
      </c>
    </row>
    <row r="1156" spans="1:4" x14ac:dyDescent="0.3">
      <c r="A1156" t="s">
        <v>95</v>
      </c>
      <c r="B1156">
        <v>2015</v>
      </c>
      <c r="C1156">
        <v>24.75471698113207</v>
      </c>
    </row>
    <row r="1157" spans="1:4" x14ac:dyDescent="0.3">
      <c r="A1157" t="s">
        <v>95</v>
      </c>
      <c r="B1157">
        <v>2016</v>
      </c>
      <c r="C1157">
        <v>23.584387025838371</v>
      </c>
    </row>
    <row r="1158" spans="1:4" x14ac:dyDescent="0.3">
      <c r="A1158" t="s">
        <v>95</v>
      </c>
      <c r="B1158">
        <v>2017</v>
      </c>
      <c r="C1158">
        <v>22.958953540820929</v>
      </c>
    </row>
    <row r="1159" spans="1:4" x14ac:dyDescent="0.3">
      <c r="A1159" t="s">
        <v>95</v>
      </c>
      <c r="B1159">
        <v>2018</v>
      </c>
      <c r="C1159">
        <v>24.831964152352501</v>
      </c>
      <c r="D1159">
        <v>16.82</v>
      </c>
    </row>
    <row r="1160" spans="1:4" x14ac:dyDescent="0.3">
      <c r="A1160" t="s">
        <v>95</v>
      </c>
      <c r="B1160">
        <v>2019</v>
      </c>
      <c r="C1160">
        <v>22.863450015767899</v>
      </c>
      <c r="D1160">
        <v>19.18</v>
      </c>
    </row>
    <row r="1161" spans="1:4" x14ac:dyDescent="0.3">
      <c r="A1161" t="s">
        <v>95</v>
      </c>
      <c r="B1161">
        <v>2020</v>
      </c>
      <c r="C1161">
        <v>19.707584526347851</v>
      </c>
      <c r="D1161">
        <v>12.94</v>
      </c>
    </row>
    <row r="1162" spans="1:4" x14ac:dyDescent="0.3">
      <c r="A1162" t="s">
        <v>95</v>
      </c>
      <c r="B1162">
        <v>2021</v>
      </c>
      <c r="C1162">
        <v>15.88711784687745</v>
      </c>
      <c r="D1162">
        <v>11.29</v>
      </c>
    </row>
    <row r="1163" spans="1:4" x14ac:dyDescent="0.3">
      <c r="A1163" t="s">
        <v>95</v>
      </c>
      <c r="B1163">
        <v>2022</v>
      </c>
      <c r="C1163">
        <v>16.61363636363636</v>
      </c>
      <c r="D1163">
        <v>14.34</v>
      </c>
    </row>
    <row r="1164" spans="1:4" x14ac:dyDescent="0.3">
      <c r="A1164" t="s">
        <v>95</v>
      </c>
      <c r="B1164">
        <v>2023</v>
      </c>
      <c r="C1164">
        <v>23.778383287920072</v>
      </c>
      <c r="D1164">
        <v>14.37</v>
      </c>
    </row>
    <row r="1165" spans="1:4" x14ac:dyDescent="0.3">
      <c r="A1165" t="s">
        <v>95</v>
      </c>
      <c r="B1165">
        <v>2024</v>
      </c>
      <c r="C1165">
        <v>26.223466981132081</v>
      </c>
      <c r="D1165">
        <v>14.19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ROE_CHECK</vt:lpstr>
      <vt:lpstr>CAGR_CHECK</vt:lpstr>
      <vt:lpstr>DB_VALUES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Niyukti Jain</dc:creator>
  <cp:lastModifiedBy>Niyukti Jain</cp:lastModifiedBy>
  <dcterms:created xsi:type="dcterms:W3CDTF">2026-07-03T10:43:54Z</dcterms:created>
  <dcterms:modified xsi:type="dcterms:W3CDTF">2026-07-06T15:21:21Z</dcterms:modified>
</cp:coreProperties>
</file>